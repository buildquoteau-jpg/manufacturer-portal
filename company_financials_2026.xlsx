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44478cdff84ec/Desktop/manufacturer-portal/"/>
    </mc:Choice>
  </mc:AlternateContent>
  <xr:revisionPtr revIDLastSave="0" documentId="8_{6F9CF072-1256-431F-A156-17FB2280F1E7}" xr6:coauthVersionLast="47" xr6:coauthVersionMax="47" xr10:uidLastSave="{00000000-0000-0000-0000-000000000000}"/>
  <bookViews>
    <workbookView xWindow="-108" yWindow="-108" windowWidth="23256" windowHeight="12456" activeTab="3" xr2:uid="{E8BC45F8-6E6C-4D22-81E0-514624245BBC}"/>
  </bookViews>
  <sheets>
    <sheet name="Claude Log" sheetId="2" r:id="rId1"/>
    <sheet name="Income &amp; Expenses" sheetId="3" r:id="rId2"/>
    <sheet name="Bank Recon" sheetId="4" r:id="rId3"/>
    <sheet name="Create Bill" sheetId="5" r:id="rId4"/>
    <sheet name="P&amp;L" sheetId="6" r:id="rId5"/>
    <sheet name="Date Search" sheetId="7" r:id="rId6"/>
    <sheet name="Monthly Graph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8" l="1"/>
  <c r="E19" i="8"/>
  <c r="D19" i="8"/>
  <c r="F18" i="8"/>
  <c r="E18" i="8" a="1"/>
  <c r="E18" i="8" s="1"/>
  <c r="D18" i="8" a="1"/>
  <c r="D18" i="8" s="1"/>
  <c r="F17" i="8"/>
  <c r="E17" i="8" a="1"/>
  <c r="E17" i="8" s="1"/>
  <c r="D17" i="8" a="1"/>
  <c r="D17" i="8" s="1"/>
  <c r="F16" i="8"/>
  <c r="E16" i="8" a="1"/>
  <c r="E16" i="8" s="1"/>
  <c r="D16" i="8" a="1"/>
  <c r="D16" i="8" s="1"/>
  <c r="F15" i="8"/>
  <c r="E15" i="8" a="1"/>
  <c r="E15" i="8" s="1"/>
  <c r="D15" i="8" a="1"/>
  <c r="D15" i="8" s="1"/>
  <c r="F14" i="8"/>
  <c r="E14" i="8" a="1"/>
  <c r="E14" i="8" s="1"/>
  <c r="D14" i="8" a="1"/>
  <c r="D14" i="8" s="1"/>
  <c r="F13" i="8"/>
  <c r="E13" i="8" a="1"/>
  <c r="E13" i="8" s="1"/>
  <c r="D13" i="8" a="1"/>
  <c r="D13" i="8" s="1"/>
  <c r="F12" i="8"/>
  <c r="E12" i="8" a="1"/>
  <c r="E12" i="8" s="1"/>
  <c r="D12" i="8" a="1"/>
  <c r="D12" i="8" s="1"/>
  <c r="F11" i="8"/>
  <c r="E11" i="8" a="1"/>
  <c r="E11" i="8" s="1"/>
  <c r="D11" i="8" a="1"/>
  <c r="D11" i="8" s="1"/>
  <c r="F10" i="8"/>
  <c r="E10" i="8" a="1"/>
  <c r="E10" i="8" s="1"/>
  <c r="D10" i="8" a="1"/>
  <c r="D10" i="8" s="1"/>
  <c r="F9" i="8"/>
  <c r="E9" i="8" a="1"/>
  <c r="E9" i="8" s="1"/>
  <c r="D9" i="8" a="1"/>
  <c r="D9" i="8" s="1"/>
  <c r="F8" i="8"/>
  <c r="E8" i="8" a="1"/>
  <c r="E8" i="8" s="1"/>
  <c r="D8" i="8" a="1"/>
  <c r="D8" i="8" s="1"/>
  <c r="F7" i="8"/>
  <c r="E7" i="8" a="1"/>
  <c r="E7" i="8" s="1"/>
  <c r="D7" i="8" a="1"/>
  <c r="D7" i="8" s="1"/>
  <c r="C18" i="8"/>
  <c r="C17" i="8"/>
  <c r="C16" i="8"/>
  <c r="C15" i="8"/>
  <c r="C14" i="8"/>
  <c r="C13" i="8"/>
  <c r="C12" i="8"/>
  <c r="C11" i="8"/>
  <c r="C10" i="8"/>
  <c r="C9" i="8"/>
  <c r="C8" i="8"/>
  <c r="C7" i="8"/>
  <c r="B18" i="8"/>
  <c r="B17" i="8"/>
  <c r="B16" i="8"/>
  <c r="B15" i="8"/>
  <c r="B14" i="8"/>
  <c r="B13" i="8"/>
  <c r="B12" i="8"/>
  <c r="B11" i="8"/>
  <c r="B10" i="8"/>
  <c r="B9" i="8"/>
  <c r="B8" i="8"/>
  <c r="B7" i="8"/>
  <c r="E4" i="8"/>
  <c r="B6" i="7"/>
  <c r="B5" i="7"/>
  <c r="C26" i="6" a="1"/>
  <c r="C26" i="6" s="1"/>
  <c r="C25" i="6" a="1"/>
  <c r="C25" i="6" s="1"/>
  <c r="C24" i="6" a="1"/>
  <c r="C24" i="6" s="1"/>
  <c r="C21" i="6"/>
  <c r="C19" i="6"/>
  <c r="C18" i="6" a="1"/>
  <c r="C18" i="6" s="1"/>
  <c r="C17" i="6" a="1"/>
  <c r="C17" i="6" s="1"/>
  <c r="C16" i="6" a="1"/>
  <c r="C16" i="6" s="1"/>
  <c r="C15" i="6" a="1"/>
  <c r="C15" i="6" s="1"/>
  <c r="C14" i="6" a="1"/>
  <c r="C14" i="6" s="1"/>
  <c r="C13" i="6" a="1"/>
  <c r="C13" i="6" s="1"/>
  <c r="C10" i="6"/>
  <c r="C9" i="6" a="1"/>
  <c r="C9" i="6" s="1"/>
  <c r="C8" i="6" a="1"/>
  <c r="C8" i="6" s="1"/>
  <c r="F49" i="5"/>
  <c r="F47" i="5"/>
  <c r="F46" i="5"/>
  <c r="F45" i="5"/>
  <c r="F44" i="5"/>
  <c r="F43" i="5"/>
  <c r="F42" i="5"/>
  <c r="B6" i="5"/>
  <c r="K10" i="4"/>
  <c r="K9" i="4"/>
  <c r="K6" i="4"/>
  <c r="M8" i="3"/>
  <c r="M7" i="3"/>
  <c r="M6" i="3"/>
  <c r="M5" i="3"/>
  <c r="M4" i="3"/>
  <c r="I13" i="7" l="1" a="1"/>
  <c r="I13" i="7" s="1"/>
  <c r="A13" i="7" a="1"/>
  <c r="A13" i="7" s="1"/>
  <c r="I21" i="7" a="1"/>
  <c r="I21" i="7" s="1"/>
  <c r="I18" i="7" a="1"/>
  <c r="I18" i="7" s="1"/>
  <c r="I20" i="7" a="1"/>
  <c r="I20" i="7" s="1"/>
  <c r="I17" i="7" a="1"/>
  <c r="I17" i="7" s="1"/>
  <c r="I19" i="7" a="1"/>
  <c r="I19" i="7" s="1"/>
  <c r="I14" i="7" a="1"/>
  <c r="I14" i="7" s="1"/>
  <c r="I15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<sst xmlns="http://schemas.openxmlformats.org/spreadsheetml/2006/main" count="191" uniqueCount="147">
  <si>
    <t>Turn #</t>
  </si>
  <si>
    <t>Date</t>
  </si>
  <si>
    <t>User Request</t>
  </si>
  <si>
    <t>Action Taken</t>
  </si>
  <si>
    <t>Details</t>
  </si>
  <si>
    <t>Outcome</t>
  </si>
  <si>
    <t>Build a full financial workbook: bank reconciliation, income &amp; expenses with categories, create bill sheet, P&amp;L, date range search, monthly graph. No GST. No payroll. Director loans/equity only.</t>
  </si>
  <si>
    <t>Created 7-tab workbook: Claude Log, Income &amp; Expenses, Bank Recon, Create Bill, P&amp;L, Date Search, Monthly Graph</t>
  </si>
  <si>
    <t>Categories: Subscriptions, R&amp;D, Motor Vehicle, Phone &amp; Internet, Contractor Expenses. Equity: Owner Equity, Director Loan In, Director Loan Repayment. No GST registered. Australian financial year basis.</t>
  </si>
  <si>
    <t>In progress — building all sheets</t>
  </si>
  <si>
    <t>INCOME &amp; EXPENSES LEDGER</t>
  </si>
  <si>
    <t>Description</t>
  </si>
  <si>
    <t>Type</t>
  </si>
  <si>
    <t>Category</t>
  </si>
  <si>
    <t>Income ($)</t>
  </si>
  <si>
    <t>Expense ($)</t>
  </si>
  <si>
    <t>Payment Method</t>
  </si>
  <si>
    <t>Reference / Invoice #</t>
  </si>
  <si>
    <t>Reconciled?</t>
  </si>
  <si>
    <t>Notes</t>
  </si>
  <si>
    <t>Sample Revenue</t>
  </si>
  <si>
    <t>Income</t>
  </si>
  <si>
    <t>Revenue</t>
  </si>
  <si>
    <t>Bank Transfer</t>
  </si>
  <si>
    <t>INV-001</t>
  </si>
  <si>
    <t>Yes</t>
  </si>
  <si>
    <t>AWS Subscription</t>
  </si>
  <si>
    <t>Expense</t>
  </si>
  <si>
    <t>Subscriptions</t>
  </si>
  <si>
    <t>Business Card</t>
  </si>
  <si>
    <t>CC-001</t>
  </si>
  <si>
    <t>No</t>
  </si>
  <si>
    <t>Monthly SaaS</t>
  </si>
  <si>
    <t>Director Loan In</t>
  </si>
  <si>
    <t>DL-001</t>
  </si>
  <si>
    <t>SUMMARY</t>
  </si>
  <si>
    <t>Total Income</t>
  </si>
  <si>
    <t>Total Expenses</t>
  </si>
  <si>
    <t>Director Loans In</t>
  </si>
  <si>
    <t>Loan Repayments</t>
  </si>
  <si>
    <t>Net Profit / (Loss)</t>
  </si>
  <si>
    <t>BANK STATEMENT RECONCILIATION</t>
  </si>
  <si>
    <t>Paste bank statement lines below. Match each line to your ledger entry. Use the Status column to track reconciliation.</t>
  </si>
  <si>
    <t>BANK STATEMENT LINES</t>
  </si>
  <si>
    <t>Description (Bank)</t>
  </si>
  <si>
    <t>Debit ($)</t>
  </si>
  <si>
    <t>Credit ($)</t>
  </si>
  <si>
    <t>Balance ($)</t>
  </si>
  <si>
    <t>Matched to Ledger?</t>
  </si>
  <si>
    <t>Ledger Ref / Notes</t>
  </si>
  <si>
    <t>Status</t>
  </si>
  <si>
    <t>PAYMENT RECEIVED - CLIENT ABC</t>
  </si>
  <si>
    <t>Reconciled</t>
  </si>
  <si>
    <t>AWS AMAZON WEB SERVICES</t>
  </si>
  <si>
    <t>UNKNOWN DEBIT - PENDING</t>
  </si>
  <si>
    <t>Unmatched</t>
  </si>
  <si>
    <t>RECONCILIATION SUMMARY</t>
  </si>
  <si>
    <t>Bank Closing Balance</t>
  </si>
  <si>
    <t>Ledger Closing Balance</t>
  </si>
  <si>
    <t>Total Reconciled Items</t>
  </si>
  <si>
    <t>Total Unmatched Items</t>
  </si>
  <si>
    <t>BUSINESS EXPENSE REIMBURSEMENT BILL</t>
  </si>
  <si>
    <t>List personal credit card expenses incurred for business purposes. The total is the amount to be reimbursed / charged to the company.</t>
  </si>
  <si>
    <t>Bill To:</t>
  </si>
  <si>
    <t>[Company Name]</t>
  </si>
  <si>
    <t>Submitted By:</t>
  </si>
  <si>
    <t>[Your Name]</t>
  </si>
  <si>
    <t>Bill Date:</t>
  </si>
  <si>
    <t>Bill Period:</t>
  </si>
  <si>
    <t>[e.g. May 2026]</t>
  </si>
  <si>
    <t>Bill #:</t>
  </si>
  <si>
    <t>BILL-001</t>
  </si>
  <si>
    <t>Supplier / Merchant</t>
  </si>
  <si>
    <t>Receipt #</t>
  </si>
  <si>
    <t>Amount ($)</t>
  </si>
  <si>
    <t>Business Purpose</t>
  </si>
  <si>
    <t>AWS Cloud Services</t>
  </si>
  <si>
    <t>Amazon Web Services</t>
  </si>
  <si>
    <t>RCP-001</t>
  </si>
  <si>
    <t>Development hosting</t>
  </si>
  <si>
    <t>Fuel - Client Visit</t>
  </si>
  <si>
    <t>Motor Vehicle</t>
  </si>
  <si>
    <t>BP Service Station</t>
  </si>
  <si>
    <t>RCP-002</t>
  </si>
  <si>
    <t>Travel to client meeting</t>
  </si>
  <si>
    <t>GitHub Pro</t>
  </si>
  <si>
    <t>GitHub Inc</t>
  </si>
  <si>
    <t>RCP-003</t>
  </si>
  <si>
    <t>Code repository</t>
  </si>
  <si>
    <t>BILL SUMMARY</t>
  </si>
  <si>
    <t>R&amp;D</t>
  </si>
  <si>
    <t>Phone &amp; Internet</t>
  </si>
  <si>
    <t>Contractor Expenses</t>
  </si>
  <si>
    <t>Other Expense</t>
  </si>
  <si>
    <t>TOTAL BILL AMOUNT</t>
  </si>
  <si>
    <t>💡 Once approved, add each line to Income &amp; Expenses with Type = 'Expense' and Payment Method = 'Personal Card (Reimbursable)'</t>
  </si>
  <si>
    <t>PROFIT &amp; LOSS STATEMENT</t>
  </si>
  <si>
    <t>Auto-generated from Income &amp; Expenses ledger</t>
  </si>
  <si>
    <t>Period From:</t>
  </si>
  <si>
    <t>Period To:</t>
  </si>
  <si>
    <t>↑ Change dates above to filter P&amp;L for any period</t>
  </si>
  <si>
    <t>INCOME</t>
  </si>
  <si>
    <t>Other Income</t>
  </si>
  <si>
    <t>TOTAL INCOME</t>
  </si>
  <si>
    <t>EXPENSES</t>
  </si>
  <si>
    <t>Other Expenses</t>
  </si>
  <si>
    <t>TOTAL EXPENSES</t>
  </si>
  <si>
    <t>NET PROFIT / (LOSS)</t>
  </si>
  <si>
    <t>DIRECTOR &amp; EQUITY MOVEMENTS</t>
  </si>
  <si>
    <t>Director Loans Received</t>
  </si>
  <si>
    <t>Director Loan Repayments</t>
  </si>
  <si>
    <t>Owner Equity Contributions</t>
  </si>
  <si>
    <t>TRANSACTION SEARCH &amp; DATE FILTER</t>
  </si>
  <si>
    <t>QUICK DATE PRESETS</t>
  </si>
  <si>
    <t>Select a preset:</t>
  </si>
  <si>
    <t>Custom</t>
  </si>
  <si>
    <t>From Date:</t>
  </si>
  <si>
    <t>To Date:</t>
  </si>
  <si>
    <t>Custom From:</t>
  </si>
  <si>
    <t>Custom To:</t>
  </si>
  <si>
    <t>Category Filter:</t>
  </si>
  <si>
    <t>All</t>
  </si>
  <si>
    <t>FILTERED RESULTS</t>
  </si>
  <si>
    <t>PERIOD SUMMARY</t>
  </si>
  <si>
    <t>MONTHLY INCOME &amp; EXPENSES DASHBOARD</t>
  </si>
  <si>
    <t>Auto-calculated from Income &amp; Expenses ledger. Change the year below to update the chart.</t>
  </si>
  <si>
    <t>Financial Year:</t>
  </si>
  <si>
    <t>2026-27</t>
  </si>
  <si>
    <t>FY Start (Jul):</t>
  </si>
  <si>
    <t>Month</t>
  </si>
  <si>
    <t>Period Start</t>
  </si>
  <si>
    <t>Period End</t>
  </si>
  <si>
    <t>Expenses ($)</t>
  </si>
  <si>
    <t>Net ($)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</si>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</sst>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$&quot;#,##0.00;\(&quot;$&quot;#,##0.00\);\-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59595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/>
    <xf numFmtId="14" fontId="0" fillId="0" borderId="0" xfId="0" applyNumberFormat="1"/>
    <xf numFmtId="0" fontId="3" fillId="2" borderId="0" xfId="0" applyFont="1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0" fontId="4" fillId="2" borderId="0" xfId="0" applyFont="1" applyFill="1"/>
    <xf numFmtId="0" fontId="1" fillId="0" borderId="0" xfId="0" applyFont="1"/>
    <xf numFmtId="166" fontId="0" fillId="0" borderId="0" xfId="0" applyNumberFormat="1"/>
    <xf numFmtId="0" fontId="1" fillId="4" borderId="0" xfId="0" applyFont="1" applyFill="1"/>
    <xf numFmtId="166" fontId="1" fillId="4" borderId="0" xfId="0" applyNumberFormat="1" applyFont="1" applyFill="1"/>
    <xf numFmtId="0" fontId="5" fillId="0" borderId="0" xfId="0" applyFont="1"/>
    <xf numFmtId="0" fontId="1" fillId="5" borderId="0" xfId="0" applyFont="1" applyFill="1"/>
    <xf numFmtId="0" fontId="1" fillId="0" borderId="0" xfId="0" applyFont="1" applyBorder="1"/>
    <xf numFmtId="0" fontId="0" fillId="0" borderId="0" xfId="0" applyBorder="1"/>
    <xf numFmtId="1" fontId="0" fillId="0" borderId="0" xfId="0" applyNumberFormat="1" applyBorder="1"/>
    <xf numFmtId="0" fontId="1" fillId="0" borderId="1" xfId="0" applyFont="1" applyBorder="1"/>
    <xf numFmtId="1" fontId="0" fillId="0" borderId="1" xfId="0" applyNumberFormat="1" applyBorder="1"/>
    <xf numFmtId="0" fontId="7" fillId="0" borderId="0" xfId="0" applyFont="1"/>
    <xf numFmtId="0" fontId="4" fillId="2" borderId="0" xfId="0" applyFont="1" applyFill="1"/>
    <xf numFmtId="0" fontId="6" fillId="4" borderId="0" xfId="0" applyFont="1" applyFill="1"/>
    <xf numFmtId="0" fontId="0" fillId="4" borderId="0" xfId="0" applyFill="1"/>
    <xf numFmtId="165" fontId="6" fillId="4" borderId="0" xfId="0" applyNumberFormat="1" applyFont="1" applyFill="1"/>
    <xf numFmtId="0" fontId="5" fillId="0" borderId="0" xfId="0" applyFont="1"/>
    <xf numFmtId="164" fontId="7" fillId="0" borderId="0" xfId="0" applyNumberFormat="1" applyFont="1"/>
    <xf numFmtId="0" fontId="4" fillId="3" borderId="0" xfId="0" applyFont="1" applyFill="1"/>
    <xf numFmtId="0" fontId="1" fillId="6" borderId="0" xfId="0" applyFont="1" applyFill="1"/>
    <xf numFmtId="166" fontId="1" fillId="6" borderId="0" xfId="0" applyNumberFormat="1" applyFont="1" applyFill="1"/>
    <xf numFmtId="0" fontId="4" fillId="7" borderId="0" xfId="0" applyFont="1" applyFill="1"/>
    <xf numFmtId="0" fontId="2" fillId="7" borderId="0" xfId="0" applyFont="1" applyFill="1"/>
    <xf numFmtId="0" fontId="1" fillId="8" borderId="0" xfId="0" applyFont="1" applyFill="1"/>
    <xf numFmtId="166" fontId="1" fillId="8" borderId="0" xfId="0" applyNumberFormat="1" applyFont="1" applyFill="1"/>
    <xf numFmtId="0" fontId="8" fillId="4" borderId="0" xfId="0" applyFont="1" applyFill="1"/>
    <xf numFmtId="165" fontId="8" fillId="4" borderId="0" xfId="0" applyNumberFormat="1" applyFont="1" applyFill="1"/>
    <xf numFmtId="0" fontId="4" fillId="9" borderId="0" xfId="0" applyFont="1" applyFill="1"/>
    <xf numFmtId="0" fontId="2" fillId="9" borderId="0" xfId="0" applyFont="1" applyFill="1"/>
    <xf numFmtId="164" fontId="1" fillId="0" borderId="0" xfId="0" applyNumberFormat="1" applyFont="1"/>
    <xf numFmtId="0" fontId="9" fillId="0" borderId="0" xfId="0" applyFont="1"/>
    <xf numFmtId="165" fontId="1" fillId="4" borderId="0" xfId="0" applyNumberFormat="1" applyFont="1" applyFill="1"/>
  </cellXfs>
  <cellStyles count="1">
    <cellStyle name="Normal" xfId="0" builtinId="0"/>
  </cellStyles>
  <dxfs count="14">
    <dxf>
      <numFmt numFmtId="165" formatCode="&quot;$&quot;#,##0.00;\(&quot;$&quot;#,##0.00\);\-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6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FCCCC"/>
        </patternFill>
      </fill>
    </dxf>
    <dxf>
      <numFmt numFmtId="165" formatCode="&quot;$&quot;#,##0.00;\(&quot;$&quot;#,##0.00\);\-"/>
    </dxf>
    <dxf>
      <numFmt numFmtId="165" formatCode="&quot;$&quot;#,##0.00;\(&quot;$&quot;#,##0.00\);\-"/>
    </dxf>
    <dxf>
      <numFmt numFmtId="165" formatCode="&quot;$&quot;#,##0.00;\(&quot;$&quot;#,##0.00\);\-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7EE"/>
        </patternFill>
      </fill>
    </dxf>
    <dxf>
      <numFmt numFmtId="165" formatCode="&quot;$&quot;#,##0.00;\(&quot;$&quot;#,##0.00\);\-"/>
    </dxf>
    <dxf>
      <numFmt numFmtId="165" formatCode="&quot;$&quot;#,##0.00;\(&quot;$&quot;#,##0.00\);\-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F368F-03AC-4C40-92E1-3C6DD6DCC4F1}" name="TxnLedger" displayName="TxnLedger" ref="A3:J103" totalsRowShown="0" headerRowDxfId="13">
  <autoFilter ref="A3:J103" xr:uid="{6F7F368F-03AC-4C40-92E1-3C6DD6DCC4F1}"/>
  <tableColumns count="10">
    <tableColumn id="1" xr3:uid="{04C6639F-6650-4077-9FA0-6D97024FD687}" name="Date" dataDxfId="12"/>
    <tableColumn id="2" xr3:uid="{1D1AEB3F-8F21-4CF5-8417-DBDC9E7C28E4}" name="Description"/>
    <tableColumn id="3" xr3:uid="{7CA1CAC8-9393-4F11-B93C-D8BFD4C0FA60}" name="Type"/>
    <tableColumn id="4" xr3:uid="{7F5BFBD3-D93F-458D-AF62-17B05E401FD7}" name="Category"/>
    <tableColumn id="5" xr3:uid="{60D856A9-B75C-4200-B4F8-445BCA77BAEC}" name="Income ($)" dataDxfId="11"/>
    <tableColumn id="6" xr3:uid="{855EC0F1-7BA2-4812-B008-3AC01F45CB7D}" name="Expense ($)" dataDxfId="10"/>
    <tableColumn id="7" xr3:uid="{D99E4053-CA18-46C7-8DDB-ECC48439E4E4}" name="Payment Method"/>
    <tableColumn id="8" xr3:uid="{16D4C5B6-8E82-4053-BB8C-89669BD334E6}" name="Reference / Invoice #"/>
    <tableColumn id="9" xr3:uid="{C9DA04D2-2A88-46A9-A3DB-5AE6DC18D4AC}" name="Reconciled?"/>
    <tableColumn id="10" xr3:uid="{EA33AB42-D336-4D0F-A46C-0A0DE9F1193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83DC93-9F0E-4097-9084-8D5BDAB5A65D}" name="BankStmt" displayName="BankStmt" ref="A5:H55" totalsRowShown="0" headerRowDxfId="9">
  <autoFilter ref="A5:H55" xr:uid="{A183DC93-9F0E-4097-9084-8D5BDAB5A65D}"/>
  <tableColumns count="8">
    <tableColumn id="1" xr3:uid="{56C39895-0B6F-4128-8C76-6BFBC77E4CA8}" name="Date" dataDxfId="8"/>
    <tableColumn id="2" xr3:uid="{DF8CE2E5-668B-46B7-9F81-B42DD696A8DB}" name="Description (Bank)"/>
    <tableColumn id="3" xr3:uid="{2F66C684-A031-4A16-A603-086A7D5EE241}" name="Debit ($)" dataDxfId="7"/>
    <tableColumn id="4" xr3:uid="{9E01F666-98D1-4869-8F28-D31DD1FBD644}" name="Credit ($)" dataDxfId="6"/>
    <tableColumn id="5" xr3:uid="{A8BDA262-4DF6-48FF-8F9D-67BBA632F74A}" name="Balance ($)" dataDxfId="5"/>
    <tableColumn id="6" xr3:uid="{DE19DD02-4F95-4C48-B051-3833137738BE}" name="Matched to Ledger?"/>
    <tableColumn id="7" xr3:uid="{59EAC293-0ABD-40BF-9611-64AD2EB6CB5B}" name="Ledger Ref / Notes"/>
    <tableColumn id="8" xr3:uid="{826B6355-C077-4881-94DA-5C6A04FF94AC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561CA7-1322-41D0-A2F6-1374A4A9C216}" name="BillItems" displayName="BillItems" ref="A9:G39" totalsRowShown="0" headerRowDxfId="2">
  <autoFilter ref="A9:G39" xr:uid="{A6561CA7-1322-41D0-A2F6-1374A4A9C216}"/>
  <tableColumns count="7">
    <tableColumn id="1" xr3:uid="{CD02B5F7-5DC9-477E-BA10-FE8945B6C5E6}" name="Date" dataDxfId="1"/>
    <tableColumn id="2" xr3:uid="{5A8CF2C7-719D-4A09-AC06-1AED87E35FA6}" name="Description"/>
    <tableColumn id="3" xr3:uid="{4EFD913F-38A6-4291-96F5-316028E6E141}" name="Category"/>
    <tableColumn id="4" xr3:uid="{F1911E7E-DF4C-477A-A728-DFFF7C40A43E}" name="Supplier / Merchant"/>
    <tableColumn id="5" xr3:uid="{CC9DA371-6A22-4F4A-BAE8-F69A06574C94}" name="Receipt #"/>
    <tableColumn id="6" xr3:uid="{189CC6AC-0B00-4DE2-9247-1095CE4EF958}" name="Amount ($)" dataDxfId="0"/>
    <tableColumn id="7" xr3:uid="{9FAC56D2-9821-4301-9435-8337D7C80EAF}" name="Business 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F40600-EF51-47CC-8C5B-6CA08A1C7A2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21d16d5-6328-4d5c-a6c1-7d75f4db4d0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6F38-6294-4333-9BBB-93E3E131152D}">
  <dimension ref="A1:F2"/>
  <sheetViews>
    <sheetView workbookViewId="0"/>
  </sheetViews>
  <sheetFormatPr defaultRowHeight="14.4" x14ac:dyDescent="0.3"/>
  <cols>
    <col min="1" max="1" width="6.33203125" bestFit="1" customWidth="1"/>
    <col min="2" max="2" width="10.5546875" bestFit="1" customWidth="1"/>
    <col min="3" max="3" width="160.21875" bestFit="1" customWidth="1"/>
    <col min="4" max="4" width="97.21875" bestFit="1" customWidth="1"/>
    <col min="5" max="5" width="169.6640625" bestFit="1" customWidth="1"/>
    <col min="6" max="6" width="27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s="2">
        <v>46152</v>
      </c>
      <c r="C2" t="s">
        <v>6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A78A-7011-41FC-AC89-5AAD6F18721E}">
  <dimension ref="A1:M10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38.5546875" bestFit="1" customWidth="1"/>
    <col min="2" max="2" width="15.21875" bestFit="1" customWidth="1"/>
    <col min="3" max="4" width="14.21875" bestFit="1" customWidth="1"/>
    <col min="5" max="5" width="12.33203125" bestFit="1" customWidth="1"/>
    <col min="6" max="6" width="12.88671875" bestFit="1" customWidth="1"/>
    <col min="7" max="7" width="18.109375" bestFit="1" customWidth="1"/>
    <col min="8" max="8" width="21.21875" bestFit="1" customWidth="1"/>
    <col min="9" max="9" width="13.21875" bestFit="1" customWidth="1"/>
    <col min="10" max="10" width="12" bestFit="1" customWidth="1"/>
  </cols>
  <sheetData>
    <row r="1" spans="1:13" ht="21" x14ac:dyDescent="0.4">
      <c r="A1" s="3" t="s">
        <v>10</v>
      </c>
    </row>
    <row r="3" spans="1:13" ht="15.6" x14ac:dyDescent="0.3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L3" s="7" t="s">
        <v>35</v>
      </c>
    </row>
    <row r="4" spans="1:13" x14ac:dyDescent="0.3">
      <c r="A4" s="5">
        <v>46143</v>
      </c>
      <c r="B4" t="s">
        <v>20</v>
      </c>
      <c r="C4" t="s">
        <v>21</v>
      </c>
      <c r="D4" t="s">
        <v>22</v>
      </c>
      <c r="E4" s="6">
        <v>5000</v>
      </c>
      <c r="F4" s="6"/>
      <c r="G4" t="s">
        <v>23</v>
      </c>
      <c r="H4" t="s">
        <v>24</v>
      </c>
      <c r="I4" t="s">
        <v>25</v>
      </c>
      <c r="L4" s="8" t="s">
        <v>36</v>
      </c>
      <c r="M4" s="9">
        <f>SUMIF(TxnLedger[Type],"Income",TxnLedger[Income ($)])+SUMIF(TxnLedger[Type],"Director Loan In",TxnLedger[Income ($)])+SUMIF(TxnLedger[Type],"Owner Equity",TxnLedger[Income ($)])</f>
        <v>15000</v>
      </c>
    </row>
    <row r="5" spans="1:13" x14ac:dyDescent="0.3">
      <c r="A5" s="5">
        <v>46144</v>
      </c>
      <c r="B5" t="s">
        <v>26</v>
      </c>
      <c r="C5" t="s">
        <v>27</v>
      </c>
      <c r="D5" t="s">
        <v>28</v>
      </c>
      <c r="E5" s="6"/>
      <c r="F5" s="6">
        <v>99</v>
      </c>
      <c r="G5" t="s">
        <v>29</v>
      </c>
      <c r="H5" t="s">
        <v>30</v>
      </c>
      <c r="I5" t="s">
        <v>31</v>
      </c>
      <c r="J5" t="s">
        <v>32</v>
      </c>
      <c r="L5" s="8" t="s">
        <v>37</v>
      </c>
      <c r="M5" s="9">
        <f>SUMIF(TxnLedger[Type],"Expense",TxnLedger[Expense ($)])</f>
        <v>99</v>
      </c>
    </row>
    <row r="6" spans="1:13" x14ac:dyDescent="0.3">
      <c r="A6" s="5">
        <v>46145</v>
      </c>
      <c r="B6" t="s">
        <v>33</v>
      </c>
      <c r="C6" t="s">
        <v>33</v>
      </c>
      <c r="D6" t="s">
        <v>33</v>
      </c>
      <c r="E6" s="6">
        <v>10000</v>
      </c>
      <c r="F6" s="6"/>
      <c r="G6" t="s">
        <v>23</v>
      </c>
      <c r="H6" t="s">
        <v>34</v>
      </c>
      <c r="I6" t="s">
        <v>25</v>
      </c>
      <c r="L6" s="8" t="s">
        <v>38</v>
      </c>
      <c r="M6" s="9">
        <f>SUMIF(TxnLedger[Category],"Director Loan In",TxnLedger[Income ($)])</f>
        <v>10000</v>
      </c>
    </row>
    <row r="7" spans="1:13" x14ac:dyDescent="0.3">
      <c r="A7" s="5"/>
      <c r="E7" s="6"/>
      <c r="F7" s="6"/>
      <c r="L7" s="8" t="s">
        <v>39</v>
      </c>
      <c r="M7" s="9">
        <f>SUMIF(TxnLedger[Category],"Director Loan Repayment",TxnLedger[Expense ($)])</f>
        <v>0</v>
      </c>
    </row>
    <row r="8" spans="1:13" x14ac:dyDescent="0.3">
      <c r="A8" s="5"/>
      <c r="E8" s="6"/>
      <c r="F8" s="6"/>
      <c r="L8" s="10" t="s">
        <v>40</v>
      </c>
      <c r="M8" s="11">
        <f>SUMIF(TxnLedger[Type],"Income",TxnLedger[Income ($)])-SUMIF(TxnLedger[Type],"Expense",TxnLedger[Expense ($)])</f>
        <v>4901</v>
      </c>
    </row>
    <row r="9" spans="1:13" x14ac:dyDescent="0.3">
      <c r="A9" s="5"/>
      <c r="E9" s="6"/>
      <c r="F9" s="6"/>
    </row>
    <row r="10" spans="1:13" x14ac:dyDescent="0.3">
      <c r="A10" s="5"/>
      <c r="E10" s="6"/>
      <c r="F10" s="6"/>
    </row>
    <row r="11" spans="1:13" x14ac:dyDescent="0.3">
      <c r="A11" s="5"/>
      <c r="E11" s="6"/>
      <c r="F11" s="6"/>
    </row>
    <row r="12" spans="1:13" x14ac:dyDescent="0.3">
      <c r="A12" s="5"/>
      <c r="E12" s="6"/>
      <c r="F12" s="6"/>
    </row>
    <row r="13" spans="1:13" x14ac:dyDescent="0.3">
      <c r="A13" s="5"/>
      <c r="E13" s="6"/>
      <c r="F13" s="6"/>
    </row>
    <row r="14" spans="1:13" x14ac:dyDescent="0.3">
      <c r="A14" s="5"/>
      <c r="E14" s="6"/>
      <c r="F14" s="6"/>
    </row>
    <row r="15" spans="1:13" x14ac:dyDescent="0.3">
      <c r="A15" s="5"/>
      <c r="E15" s="6"/>
      <c r="F15" s="6"/>
    </row>
    <row r="16" spans="1:13" x14ac:dyDescent="0.3">
      <c r="A16" s="5"/>
      <c r="E16" s="6"/>
      <c r="F16" s="6"/>
    </row>
    <row r="17" spans="1:6" x14ac:dyDescent="0.3">
      <c r="A17" s="5"/>
      <c r="E17" s="6"/>
      <c r="F17" s="6"/>
    </row>
    <row r="18" spans="1:6" x14ac:dyDescent="0.3">
      <c r="A18" s="5"/>
      <c r="E18" s="6"/>
      <c r="F18" s="6"/>
    </row>
    <row r="19" spans="1:6" x14ac:dyDescent="0.3">
      <c r="A19" s="5"/>
      <c r="E19" s="6"/>
      <c r="F19" s="6"/>
    </row>
    <row r="20" spans="1:6" x14ac:dyDescent="0.3">
      <c r="A20" s="5"/>
      <c r="E20" s="6"/>
      <c r="F20" s="6"/>
    </row>
    <row r="21" spans="1:6" x14ac:dyDescent="0.3">
      <c r="A21" s="5"/>
      <c r="E21" s="6"/>
      <c r="F21" s="6"/>
    </row>
    <row r="22" spans="1:6" x14ac:dyDescent="0.3">
      <c r="A22" s="5"/>
      <c r="E22" s="6"/>
      <c r="F22" s="6"/>
    </row>
    <row r="23" spans="1:6" x14ac:dyDescent="0.3">
      <c r="A23" s="5"/>
      <c r="E23" s="6"/>
      <c r="F23" s="6"/>
    </row>
    <row r="24" spans="1:6" x14ac:dyDescent="0.3">
      <c r="A24" s="5"/>
      <c r="E24" s="6"/>
      <c r="F24" s="6"/>
    </row>
    <row r="25" spans="1:6" x14ac:dyDescent="0.3">
      <c r="A25" s="5"/>
      <c r="E25" s="6"/>
      <c r="F25" s="6"/>
    </row>
    <row r="26" spans="1:6" x14ac:dyDescent="0.3">
      <c r="A26" s="5"/>
      <c r="E26" s="6"/>
      <c r="F26" s="6"/>
    </row>
    <row r="27" spans="1:6" x14ac:dyDescent="0.3">
      <c r="A27" s="5"/>
      <c r="E27" s="6"/>
      <c r="F27" s="6"/>
    </row>
    <row r="28" spans="1:6" x14ac:dyDescent="0.3">
      <c r="A28" s="5"/>
      <c r="E28" s="6"/>
      <c r="F28" s="6"/>
    </row>
    <row r="29" spans="1:6" x14ac:dyDescent="0.3">
      <c r="A29" s="5"/>
      <c r="E29" s="6"/>
      <c r="F29" s="6"/>
    </row>
    <row r="30" spans="1:6" x14ac:dyDescent="0.3">
      <c r="A30" s="5"/>
      <c r="E30" s="6"/>
      <c r="F30" s="6"/>
    </row>
    <row r="31" spans="1:6" x14ac:dyDescent="0.3">
      <c r="A31" s="5"/>
      <c r="E31" s="6"/>
      <c r="F31" s="6"/>
    </row>
    <row r="32" spans="1:6" x14ac:dyDescent="0.3">
      <c r="A32" s="5"/>
      <c r="E32" s="6"/>
      <c r="F32" s="6"/>
    </row>
    <row r="33" spans="1:6" x14ac:dyDescent="0.3">
      <c r="A33" s="5"/>
      <c r="E33" s="6"/>
      <c r="F33" s="6"/>
    </row>
    <row r="34" spans="1:6" x14ac:dyDescent="0.3">
      <c r="A34" s="5"/>
      <c r="E34" s="6"/>
      <c r="F34" s="6"/>
    </row>
    <row r="35" spans="1:6" x14ac:dyDescent="0.3">
      <c r="A35" s="5"/>
      <c r="E35" s="6"/>
      <c r="F35" s="6"/>
    </row>
    <row r="36" spans="1:6" x14ac:dyDescent="0.3">
      <c r="A36" s="5"/>
      <c r="E36" s="6"/>
      <c r="F36" s="6"/>
    </row>
    <row r="37" spans="1:6" x14ac:dyDescent="0.3">
      <c r="A37" s="5"/>
      <c r="E37" s="6"/>
      <c r="F37" s="6"/>
    </row>
    <row r="38" spans="1:6" x14ac:dyDescent="0.3">
      <c r="A38" s="5"/>
      <c r="E38" s="6"/>
      <c r="F38" s="6"/>
    </row>
    <row r="39" spans="1:6" x14ac:dyDescent="0.3">
      <c r="A39" s="5"/>
      <c r="E39" s="6"/>
      <c r="F39" s="6"/>
    </row>
    <row r="40" spans="1:6" x14ac:dyDescent="0.3">
      <c r="A40" s="5"/>
      <c r="E40" s="6"/>
      <c r="F40" s="6"/>
    </row>
    <row r="41" spans="1:6" x14ac:dyDescent="0.3">
      <c r="A41" s="5"/>
      <c r="E41" s="6"/>
      <c r="F41" s="6"/>
    </row>
    <row r="42" spans="1:6" x14ac:dyDescent="0.3">
      <c r="A42" s="5"/>
      <c r="E42" s="6"/>
      <c r="F42" s="6"/>
    </row>
    <row r="43" spans="1:6" x14ac:dyDescent="0.3">
      <c r="A43" s="5"/>
      <c r="E43" s="6"/>
      <c r="F43" s="6"/>
    </row>
    <row r="44" spans="1:6" x14ac:dyDescent="0.3">
      <c r="A44" s="5"/>
      <c r="E44" s="6"/>
      <c r="F44" s="6"/>
    </row>
    <row r="45" spans="1:6" x14ac:dyDescent="0.3">
      <c r="A45" s="5"/>
      <c r="E45" s="6"/>
      <c r="F45" s="6"/>
    </row>
    <row r="46" spans="1:6" x14ac:dyDescent="0.3">
      <c r="A46" s="5"/>
      <c r="E46" s="6"/>
      <c r="F46" s="6"/>
    </row>
    <row r="47" spans="1:6" x14ac:dyDescent="0.3">
      <c r="A47" s="5"/>
      <c r="E47" s="6"/>
      <c r="F47" s="6"/>
    </row>
    <row r="48" spans="1:6" x14ac:dyDescent="0.3">
      <c r="A48" s="5"/>
      <c r="E48" s="6"/>
      <c r="F48" s="6"/>
    </row>
    <row r="49" spans="1:6" x14ac:dyDescent="0.3">
      <c r="A49" s="5"/>
      <c r="E49" s="6"/>
      <c r="F49" s="6"/>
    </row>
    <row r="50" spans="1:6" x14ac:dyDescent="0.3">
      <c r="A50" s="5"/>
      <c r="E50" s="6"/>
      <c r="F50" s="6"/>
    </row>
    <row r="51" spans="1:6" x14ac:dyDescent="0.3">
      <c r="A51" s="5"/>
      <c r="E51" s="6"/>
      <c r="F51" s="6"/>
    </row>
    <row r="52" spans="1:6" x14ac:dyDescent="0.3">
      <c r="A52" s="5"/>
      <c r="E52" s="6"/>
      <c r="F52" s="6"/>
    </row>
    <row r="53" spans="1:6" x14ac:dyDescent="0.3">
      <c r="A53" s="5"/>
      <c r="E53" s="6"/>
      <c r="F53" s="6"/>
    </row>
    <row r="54" spans="1:6" x14ac:dyDescent="0.3">
      <c r="A54" s="5"/>
      <c r="E54" s="6"/>
      <c r="F54" s="6"/>
    </row>
    <row r="55" spans="1:6" x14ac:dyDescent="0.3">
      <c r="A55" s="5"/>
      <c r="E55" s="6"/>
      <c r="F55" s="6"/>
    </row>
    <row r="56" spans="1:6" x14ac:dyDescent="0.3">
      <c r="A56" s="5"/>
      <c r="E56" s="6"/>
      <c r="F56" s="6"/>
    </row>
    <row r="57" spans="1:6" x14ac:dyDescent="0.3">
      <c r="A57" s="5"/>
      <c r="E57" s="6"/>
      <c r="F57" s="6"/>
    </row>
    <row r="58" spans="1:6" x14ac:dyDescent="0.3">
      <c r="A58" s="5"/>
      <c r="E58" s="6"/>
      <c r="F58" s="6"/>
    </row>
    <row r="59" spans="1:6" x14ac:dyDescent="0.3">
      <c r="A59" s="5"/>
      <c r="E59" s="6"/>
      <c r="F59" s="6"/>
    </row>
    <row r="60" spans="1:6" x14ac:dyDescent="0.3">
      <c r="A60" s="5"/>
      <c r="E60" s="6"/>
      <c r="F60" s="6"/>
    </row>
    <row r="61" spans="1:6" x14ac:dyDescent="0.3">
      <c r="A61" s="5"/>
      <c r="E61" s="6"/>
      <c r="F61" s="6"/>
    </row>
    <row r="62" spans="1:6" x14ac:dyDescent="0.3">
      <c r="A62" s="5"/>
      <c r="E62" s="6"/>
      <c r="F62" s="6"/>
    </row>
    <row r="63" spans="1:6" x14ac:dyDescent="0.3">
      <c r="A63" s="5"/>
      <c r="E63" s="6"/>
      <c r="F63" s="6"/>
    </row>
    <row r="64" spans="1:6" x14ac:dyDescent="0.3">
      <c r="A64" s="5"/>
      <c r="E64" s="6"/>
      <c r="F64" s="6"/>
    </row>
    <row r="65" spans="1:6" x14ac:dyDescent="0.3">
      <c r="A65" s="5"/>
      <c r="E65" s="6"/>
      <c r="F65" s="6"/>
    </row>
    <row r="66" spans="1:6" x14ac:dyDescent="0.3">
      <c r="A66" s="5"/>
      <c r="E66" s="6"/>
      <c r="F66" s="6"/>
    </row>
    <row r="67" spans="1:6" x14ac:dyDescent="0.3">
      <c r="A67" s="5"/>
      <c r="E67" s="6"/>
      <c r="F67" s="6"/>
    </row>
    <row r="68" spans="1:6" x14ac:dyDescent="0.3">
      <c r="A68" s="5"/>
      <c r="E68" s="6"/>
      <c r="F68" s="6"/>
    </row>
    <row r="69" spans="1:6" x14ac:dyDescent="0.3">
      <c r="A69" s="5"/>
      <c r="E69" s="6"/>
      <c r="F69" s="6"/>
    </row>
    <row r="70" spans="1:6" x14ac:dyDescent="0.3">
      <c r="A70" s="5"/>
      <c r="E70" s="6"/>
      <c r="F70" s="6"/>
    </row>
    <row r="71" spans="1:6" x14ac:dyDescent="0.3">
      <c r="A71" s="5"/>
      <c r="E71" s="6"/>
      <c r="F71" s="6"/>
    </row>
    <row r="72" spans="1:6" x14ac:dyDescent="0.3">
      <c r="A72" s="5"/>
      <c r="E72" s="6"/>
      <c r="F72" s="6"/>
    </row>
    <row r="73" spans="1:6" x14ac:dyDescent="0.3">
      <c r="A73" s="5"/>
      <c r="E73" s="6"/>
      <c r="F73" s="6"/>
    </row>
    <row r="74" spans="1:6" x14ac:dyDescent="0.3">
      <c r="A74" s="5"/>
      <c r="E74" s="6"/>
      <c r="F74" s="6"/>
    </row>
    <row r="75" spans="1:6" x14ac:dyDescent="0.3">
      <c r="A75" s="5"/>
      <c r="E75" s="6"/>
      <c r="F75" s="6"/>
    </row>
    <row r="76" spans="1:6" x14ac:dyDescent="0.3">
      <c r="A76" s="5"/>
      <c r="E76" s="6"/>
      <c r="F76" s="6"/>
    </row>
    <row r="77" spans="1:6" x14ac:dyDescent="0.3">
      <c r="A77" s="5"/>
      <c r="E77" s="6"/>
      <c r="F77" s="6"/>
    </row>
    <row r="78" spans="1:6" x14ac:dyDescent="0.3">
      <c r="A78" s="5"/>
      <c r="E78" s="6"/>
      <c r="F78" s="6"/>
    </row>
    <row r="79" spans="1:6" x14ac:dyDescent="0.3">
      <c r="A79" s="5"/>
      <c r="E79" s="6"/>
      <c r="F79" s="6"/>
    </row>
    <row r="80" spans="1:6" x14ac:dyDescent="0.3">
      <c r="A80" s="5"/>
      <c r="E80" s="6"/>
      <c r="F80" s="6"/>
    </row>
    <row r="81" spans="1:6" x14ac:dyDescent="0.3">
      <c r="A81" s="5"/>
      <c r="E81" s="6"/>
      <c r="F81" s="6"/>
    </row>
    <row r="82" spans="1:6" x14ac:dyDescent="0.3">
      <c r="A82" s="5"/>
      <c r="E82" s="6"/>
      <c r="F82" s="6"/>
    </row>
    <row r="83" spans="1:6" x14ac:dyDescent="0.3">
      <c r="A83" s="5"/>
      <c r="E83" s="6"/>
      <c r="F83" s="6"/>
    </row>
    <row r="84" spans="1:6" x14ac:dyDescent="0.3">
      <c r="A84" s="5"/>
      <c r="E84" s="6"/>
      <c r="F84" s="6"/>
    </row>
    <row r="85" spans="1:6" x14ac:dyDescent="0.3">
      <c r="A85" s="5"/>
      <c r="E85" s="6"/>
      <c r="F85" s="6"/>
    </row>
    <row r="86" spans="1:6" x14ac:dyDescent="0.3">
      <c r="A86" s="5"/>
      <c r="E86" s="6"/>
      <c r="F86" s="6"/>
    </row>
    <row r="87" spans="1:6" x14ac:dyDescent="0.3">
      <c r="A87" s="5"/>
      <c r="E87" s="6"/>
      <c r="F87" s="6"/>
    </row>
    <row r="88" spans="1:6" x14ac:dyDescent="0.3">
      <c r="A88" s="5"/>
      <c r="E88" s="6"/>
      <c r="F88" s="6"/>
    </row>
    <row r="89" spans="1:6" x14ac:dyDescent="0.3">
      <c r="A89" s="5"/>
      <c r="E89" s="6"/>
      <c r="F89" s="6"/>
    </row>
    <row r="90" spans="1:6" x14ac:dyDescent="0.3">
      <c r="A90" s="5"/>
      <c r="E90" s="6"/>
      <c r="F90" s="6"/>
    </row>
    <row r="91" spans="1:6" x14ac:dyDescent="0.3">
      <c r="A91" s="5"/>
      <c r="E91" s="6"/>
      <c r="F91" s="6"/>
    </row>
    <row r="92" spans="1:6" x14ac:dyDescent="0.3">
      <c r="A92" s="5"/>
      <c r="E92" s="6"/>
      <c r="F92" s="6"/>
    </row>
    <row r="93" spans="1:6" x14ac:dyDescent="0.3">
      <c r="A93" s="5"/>
      <c r="E93" s="6"/>
      <c r="F93" s="6"/>
    </row>
    <row r="94" spans="1:6" x14ac:dyDescent="0.3">
      <c r="A94" s="5"/>
      <c r="E94" s="6"/>
      <c r="F94" s="6"/>
    </row>
    <row r="95" spans="1:6" x14ac:dyDescent="0.3">
      <c r="A95" s="5"/>
      <c r="E95" s="6"/>
      <c r="F95" s="6"/>
    </row>
    <row r="96" spans="1:6" x14ac:dyDescent="0.3">
      <c r="A96" s="5"/>
      <c r="E96" s="6"/>
      <c r="F96" s="6"/>
    </row>
    <row r="97" spans="1:6" x14ac:dyDescent="0.3">
      <c r="A97" s="5"/>
      <c r="E97" s="6"/>
      <c r="F97" s="6"/>
    </row>
    <row r="98" spans="1:6" x14ac:dyDescent="0.3">
      <c r="A98" s="5"/>
      <c r="E98" s="6"/>
      <c r="F98" s="6"/>
    </row>
    <row r="99" spans="1:6" x14ac:dyDescent="0.3">
      <c r="A99" s="5"/>
      <c r="E99" s="6"/>
      <c r="F99" s="6"/>
    </row>
    <row r="100" spans="1:6" x14ac:dyDescent="0.3">
      <c r="A100" s="5"/>
      <c r="E100" s="6"/>
      <c r="F100" s="6"/>
    </row>
    <row r="101" spans="1:6" x14ac:dyDescent="0.3">
      <c r="A101" s="5"/>
      <c r="E101" s="6"/>
      <c r="F101" s="6"/>
    </row>
    <row r="102" spans="1:6" x14ac:dyDescent="0.3">
      <c r="A102" s="5"/>
      <c r="E102" s="6"/>
      <c r="F102" s="6"/>
    </row>
    <row r="103" spans="1:6" x14ac:dyDescent="0.3">
      <c r="A103" s="5"/>
      <c r="E103" s="6"/>
      <c r="F103" s="6"/>
    </row>
  </sheetData>
  <dataValidations count="4">
    <dataValidation type="list" allowBlank="1" showInputMessage="1" showErrorMessage="1" sqref="C4:C103" xr:uid="{FDBF315D-13A7-4394-918D-73F92E54DAFB}">
      <formula1>"Income,Expense,Director Loan In,Director Loan Repayment,Owner Equity"</formula1>
    </dataValidation>
    <dataValidation type="list" allowBlank="1" showInputMessage="1" showErrorMessage="1" sqref="D4:D103" xr:uid="{1D88743E-367E-47A2-B76B-08F11042457C}">
      <formula1>"Revenue,Subscriptions,R&amp;D,Motor Vehicle,Phone &amp; Internet,Contractor Expenses,Director Loan In,Director Loan Repayment,Owner Equity,Other Income,Other Expense"</formula1>
    </dataValidation>
    <dataValidation type="list" allowBlank="1" showInputMessage="1" showErrorMessage="1" sqref="G4:G103" xr:uid="{43A4A6B9-C9FC-4FEA-AC87-098FC9FA6564}">
      <formula1>"Bank Transfer,Business Card,Personal Card (Reimbursable),Cash,Direct Debit,Cheque"</formula1>
    </dataValidation>
    <dataValidation type="list" allowBlank="1" showInputMessage="1" showErrorMessage="1" sqref="I4:I103" xr:uid="{9D09CF64-C924-466E-BC39-0CC7BF6EAD03}">
      <formula1>"Yes,No,Pending"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F178-8D79-4727-BA8D-FD678B4BE008}">
  <dimension ref="A1:K5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98.109375" bestFit="1" customWidth="1"/>
    <col min="2" max="2" width="29.33203125" bestFit="1" customWidth="1"/>
    <col min="3" max="3" width="10.44140625" bestFit="1" customWidth="1"/>
    <col min="4" max="4" width="11" bestFit="1" customWidth="1"/>
    <col min="5" max="5" width="12.5546875" bestFit="1" customWidth="1"/>
    <col min="6" max="6" width="20.21875" bestFit="1" customWidth="1"/>
    <col min="7" max="7" width="18.88671875" bestFit="1" customWidth="1"/>
    <col min="8" max="8" width="10.44140625" bestFit="1" customWidth="1"/>
  </cols>
  <sheetData>
    <row r="1" spans="1:11" ht="21" x14ac:dyDescent="0.4">
      <c r="A1" s="3" t="s">
        <v>41</v>
      </c>
    </row>
    <row r="2" spans="1:11" x14ac:dyDescent="0.3">
      <c r="A2" s="12" t="s">
        <v>42</v>
      </c>
    </row>
    <row r="4" spans="1:11" x14ac:dyDescent="0.3">
      <c r="A4" s="4" t="s">
        <v>43</v>
      </c>
    </row>
    <row r="5" spans="1:11" ht="15.6" x14ac:dyDescent="0.3">
      <c r="A5" s="13" t="s">
        <v>1</v>
      </c>
      <c r="B5" s="13" t="s">
        <v>44</v>
      </c>
      <c r="C5" s="13" t="s">
        <v>45</v>
      </c>
      <c r="D5" s="13" t="s">
        <v>46</v>
      </c>
      <c r="E5" s="13" t="s">
        <v>47</v>
      </c>
      <c r="F5" s="13" t="s">
        <v>48</v>
      </c>
      <c r="G5" s="13" t="s">
        <v>49</v>
      </c>
      <c r="H5" s="13" t="s">
        <v>50</v>
      </c>
      <c r="J5" s="7" t="s">
        <v>56</v>
      </c>
    </row>
    <row r="6" spans="1:11" x14ac:dyDescent="0.3">
      <c r="A6" s="5">
        <v>46143</v>
      </c>
      <c r="B6" t="s">
        <v>51</v>
      </c>
      <c r="C6" s="6"/>
      <c r="D6" s="6">
        <v>5000</v>
      </c>
      <c r="E6" s="6"/>
      <c r="F6" t="s">
        <v>25</v>
      </c>
      <c r="G6" t="s">
        <v>24</v>
      </c>
      <c r="H6" t="s">
        <v>52</v>
      </c>
      <c r="J6" s="14" t="s">
        <v>57</v>
      </c>
      <c r="K6" s="15" t="str">
        <f>IF(COUNTA(BankStmt[Balance ($)])=0,"",INDEX(BankStmt[Balance ($)],MATCH(9.99E+307,BankStmt[Balance ($)]))+0)</f>
        <v/>
      </c>
    </row>
    <row r="7" spans="1:11" x14ac:dyDescent="0.3">
      <c r="A7" s="5">
        <v>46144</v>
      </c>
      <c r="B7" t="s">
        <v>53</v>
      </c>
      <c r="C7" s="6">
        <v>99</v>
      </c>
      <c r="D7" s="6"/>
      <c r="E7" s="6"/>
      <c r="F7" t="s">
        <v>25</v>
      </c>
      <c r="G7" t="s">
        <v>30</v>
      </c>
      <c r="H7" t="s">
        <v>52</v>
      </c>
      <c r="J7" s="14" t="s">
        <v>58</v>
      </c>
      <c r="K7" s="15"/>
    </row>
    <row r="8" spans="1:11" x14ac:dyDescent="0.3">
      <c r="A8" s="5">
        <v>46147</v>
      </c>
      <c r="B8" t="s">
        <v>54</v>
      </c>
      <c r="C8" s="6">
        <v>150</v>
      </c>
      <c r="D8" s="6"/>
      <c r="E8" s="6"/>
      <c r="F8" t="s">
        <v>31</v>
      </c>
      <c r="H8" t="s">
        <v>55</v>
      </c>
      <c r="J8" s="14"/>
      <c r="K8" s="15"/>
    </row>
    <row r="9" spans="1:11" x14ac:dyDescent="0.3">
      <c r="A9" s="5"/>
      <c r="C9" s="6"/>
      <c r="D9" s="6"/>
      <c r="E9" s="6"/>
      <c r="J9" s="14" t="s">
        <v>59</v>
      </c>
      <c r="K9" s="16">
        <f>COUNTIF(BankStmt[Status],"Reconciled")</f>
        <v>2</v>
      </c>
    </row>
    <row r="10" spans="1:11" x14ac:dyDescent="0.3">
      <c r="A10" s="5"/>
      <c r="C10" s="6"/>
      <c r="D10" s="6"/>
      <c r="E10" s="6"/>
      <c r="J10" s="17" t="s">
        <v>60</v>
      </c>
      <c r="K10" s="18">
        <f>COUNTIF(BankStmt[Status],"Unmatched")</f>
        <v>1</v>
      </c>
    </row>
    <row r="11" spans="1:11" x14ac:dyDescent="0.3">
      <c r="A11" s="5"/>
      <c r="C11" s="6"/>
      <c r="D11" s="6"/>
      <c r="E11" s="6"/>
    </row>
    <row r="12" spans="1:11" x14ac:dyDescent="0.3">
      <c r="A12" s="5"/>
      <c r="C12" s="6"/>
      <c r="D12" s="6"/>
      <c r="E12" s="6"/>
    </row>
    <row r="13" spans="1:11" x14ac:dyDescent="0.3">
      <c r="A13" s="5"/>
      <c r="C13" s="6"/>
      <c r="D13" s="6"/>
      <c r="E13" s="6"/>
    </row>
    <row r="14" spans="1:11" x14ac:dyDescent="0.3">
      <c r="A14" s="5"/>
      <c r="C14" s="6"/>
      <c r="D14" s="6"/>
      <c r="E14" s="6"/>
    </row>
    <row r="15" spans="1:11" x14ac:dyDescent="0.3">
      <c r="A15" s="5"/>
      <c r="C15" s="6"/>
      <c r="D15" s="6"/>
      <c r="E15" s="6"/>
    </row>
    <row r="16" spans="1:11" x14ac:dyDescent="0.3">
      <c r="A16" s="5"/>
      <c r="C16" s="6"/>
      <c r="D16" s="6"/>
      <c r="E16" s="6"/>
    </row>
    <row r="17" spans="1:5" x14ac:dyDescent="0.3">
      <c r="A17" s="5"/>
      <c r="C17" s="6"/>
      <c r="D17" s="6"/>
      <c r="E17" s="6"/>
    </row>
    <row r="18" spans="1:5" x14ac:dyDescent="0.3">
      <c r="A18" s="5"/>
      <c r="C18" s="6"/>
      <c r="D18" s="6"/>
      <c r="E18" s="6"/>
    </row>
    <row r="19" spans="1:5" x14ac:dyDescent="0.3">
      <c r="A19" s="5"/>
      <c r="C19" s="6"/>
      <c r="D19" s="6"/>
      <c r="E19" s="6"/>
    </row>
    <row r="20" spans="1:5" x14ac:dyDescent="0.3">
      <c r="A20" s="5"/>
      <c r="C20" s="6"/>
      <c r="D20" s="6"/>
      <c r="E20" s="6"/>
    </row>
    <row r="21" spans="1:5" x14ac:dyDescent="0.3">
      <c r="A21" s="5"/>
      <c r="C21" s="6"/>
      <c r="D21" s="6"/>
      <c r="E21" s="6"/>
    </row>
    <row r="22" spans="1:5" x14ac:dyDescent="0.3">
      <c r="A22" s="5"/>
      <c r="C22" s="6"/>
      <c r="D22" s="6"/>
      <c r="E22" s="6"/>
    </row>
    <row r="23" spans="1:5" x14ac:dyDescent="0.3">
      <c r="A23" s="5"/>
      <c r="C23" s="6"/>
      <c r="D23" s="6"/>
      <c r="E23" s="6"/>
    </row>
    <row r="24" spans="1:5" x14ac:dyDescent="0.3">
      <c r="A24" s="5"/>
      <c r="C24" s="6"/>
      <c r="D24" s="6"/>
      <c r="E24" s="6"/>
    </row>
    <row r="25" spans="1:5" x14ac:dyDescent="0.3">
      <c r="A25" s="5"/>
      <c r="C25" s="6"/>
      <c r="D25" s="6"/>
      <c r="E25" s="6"/>
    </row>
    <row r="26" spans="1:5" x14ac:dyDescent="0.3">
      <c r="A26" s="5"/>
      <c r="C26" s="6"/>
      <c r="D26" s="6"/>
      <c r="E26" s="6"/>
    </row>
    <row r="27" spans="1:5" x14ac:dyDescent="0.3">
      <c r="A27" s="5"/>
      <c r="C27" s="6"/>
      <c r="D27" s="6"/>
      <c r="E27" s="6"/>
    </row>
    <row r="28" spans="1:5" x14ac:dyDescent="0.3">
      <c r="A28" s="5"/>
      <c r="C28" s="6"/>
      <c r="D28" s="6"/>
      <c r="E28" s="6"/>
    </row>
    <row r="29" spans="1:5" x14ac:dyDescent="0.3">
      <c r="A29" s="5"/>
      <c r="C29" s="6"/>
      <c r="D29" s="6"/>
      <c r="E29" s="6"/>
    </row>
    <row r="30" spans="1:5" x14ac:dyDescent="0.3">
      <c r="A30" s="5"/>
      <c r="C30" s="6"/>
      <c r="D30" s="6"/>
      <c r="E30" s="6"/>
    </row>
    <row r="31" spans="1:5" x14ac:dyDescent="0.3">
      <c r="A31" s="5"/>
      <c r="C31" s="6"/>
      <c r="D31" s="6"/>
      <c r="E31" s="6"/>
    </row>
    <row r="32" spans="1:5" x14ac:dyDescent="0.3">
      <c r="A32" s="5"/>
      <c r="C32" s="6"/>
      <c r="D32" s="6"/>
      <c r="E32" s="6"/>
    </row>
    <row r="33" spans="1:5" x14ac:dyDescent="0.3">
      <c r="A33" s="5"/>
      <c r="C33" s="6"/>
      <c r="D33" s="6"/>
      <c r="E33" s="6"/>
    </row>
    <row r="34" spans="1:5" x14ac:dyDescent="0.3">
      <c r="A34" s="5"/>
      <c r="C34" s="6"/>
      <c r="D34" s="6"/>
      <c r="E34" s="6"/>
    </row>
    <row r="35" spans="1:5" x14ac:dyDescent="0.3">
      <c r="A35" s="5"/>
      <c r="C35" s="6"/>
      <c r="D35" s="6"/>
      <c r="E35" s="6"/>
    </row>
    <row r="36" spans="1:5" x14ac:dyDescent="0.3">
      <c r="A36" s="5"/>
      <c r="C36" s="6"/>
      <c r="D36" s="6"/>
      <c r="E36" s="6"/>
    </row>
    <row r="37" spans="1:5" x14ac:dyDescent="0.3">
      <c r="A37" s="5"/>
      <c r="C37" s="6"/>
      <c r="D37" s="6"/>
      <c r="E37" s="6"/>
    </row>
    <row r="38" spans="1:5" x14ac:dyDescent="0.3">
      <c r="A38" s="5"/>
      <c r="C38" s="6"/>
      <c r="D38" s="6"/>
      <c r="E38" s="6"/>
    </row>
    <row r="39" spans="1:5" x14ac:dyDescent="0.3">
      <c r="A39" s="5"/>
      <c r="C39" s="6"/>
      <c r="D39" s="6"/>
      <c r="E39" s="6"/>
    </row>
    <row r="40" spans="1:5" x14ac:dyDescent="0.3">
      <c r="A40" s="5"/>
      <c r="C40" s="6"/>
      <c r="D40" s="6"/>
      <c r="E40" s="6"/>
    </row>
    <row r="41" spans="1:5" x14ac:dyDescent="0.3">
      <c r="A41" s="5"/>
      <c r="C41" s="6"/>
      <c r="D41" s="6"/>
      <c r="E41" s="6"/>
    </row>
    <row r="42" spans="1:5" x14ac:dyDescent="0.3">
      <c r="A42" s="5"/>
      <c r="C42" s="6"/>
      <c r="D42" s="6"/>
      <c r="E42" s="6"/>
    </row>
    <row r="43" spans="1:5" x14ac:dyDescent="0.3">
      <c r="A43" s="5"/>
      <c r="C43" s="6"/>
      <c r="D43" s="6"/>
      <c r="E43" s="6"/>
    </row>
    <row r="44" spans="1:5" x14ac:dyDescent="0.3">
      <c r="A44" s="5"/>
      <c r="C44" s="6"/>
      <c r="D44" s="6"/>
      <c r="E44" s="6"/>
    </row>
    <row r="45" spans="1:5" x14ac:dyDescent="0.3">
      <c r="A45" s="5"/>
      <c r="C45" s="6"/>
      <c r="D45" s="6"/>
      <c r="E45" s="6"/>
    </row>
    <row r="46" spans="1:5" x14ac:dyDescent="0.3">
      <c r="A46" s="5"/>
      <c r="C46" s="6"/>
      <c r="D46" s="6"/>
      <c r="E46" s="6"/>
    </row>
    <row r="47" spans="1:5" x14ac:dyDescent="0.3">
      <c r="A47" s="5"/>
      <c r="C47" s="6"/>
      <c r="D47" s="6"/>
      <c r="E47" s="6"/>
    </row>
    <row r="48" spans="1:5" x14ac:dyDescent="0.3">
      <c r="A48" s="5"/>
      <c r="C48" s="6"/>
      <c r="D48" s="6"/>
      <c r="E48" s="6"/>
    </row>
    <row r="49" spans="1:5" x14ac:dyDescent="0.3">
      <c r="A49" s="5"/>
      <c r="C49" s="6"/>
      <c r="D49" s="6"/>
      <c r="E49" s="6"/>
    </row>
    <row r="50" spans="1:5" x14ac:dyDescent="0.3">
      <c r="A50" s="5"/>
      <c r="C50" s="6"/>
      <c r="D50" s="6"/>
      <c r="E50" s="6"/>
    </row>
    <row r="51" spans="1:5" x14ac:dyDescent="0.3">
      <c r="A51" s="5"/>
      <c r="C51" s="6"/>
      <c r="D51" s="6"/>
      <c r="E51" s="6"/>
    </row>
    <row r="52" spans="1:5" x14ac:dyDescent="0.3">
      <c r="A52" s="5"/>
      <c r="C52" s="6"/>
      <c r="D52" s="6"/>
      <c r="E52" s="6"/>
    </row>
    <row r="53" spans="1:5" x14ac:dyDescent="0.3">
      <c r="A53" s="5"/>
      <c r="C53" s="6"/>
      <c r="D53" s="6"/>
      <c r="E53" s="6"/>
    </row>
    <row r="54" spans="1:5" x14ac:dyDescent="0.3">
      <c r="A54" s="5"/>
      <c r="C54" s="6"/>
      <c r="D54" s="6"/>
      <c r="E54" s="6"/>
    </row>
    <row r="55" spans="1:5" x14ac:dyDescent="0.3">
      <c r="A55" s="5"/>
      <c r="C55" s="6"/>
      <c r="D55" s="6"/>
      <c r="E55" s="6"/>
    </row>
  </sheetData>
  <conditionalFormatting sqref="H6:H55">
    <cfRule type="containsText" dxfId="4" priority="1" operator="containsText" text="Unmatched">
      <formula>NOT(ISERROR(SEARCH("Unmatched",H6)))</formula>
    </cfRule>
  </conditionalFormatting>
  <conditionalFormatting sqref="H6:H55">
    <cfRule type="containsText" dxfId="3" priority="2" operator="containsText" text="Reconciled">
      <formula>NOT(ISERROR(SEARCH("Reconciled",H6)))</formula>
    </cfRule>
  </conditionalFormatting>
  <dataValidations count="2">
    <dataValidation type="list" allowBlank="1" showInputMessage="1" showErrorMessage="1" sqref="F6:F55" xr:uid="{099AD1FD-ECAA-49B3-A03D-7D3BFBDFF242}">
      <formula1>"Yes,No,Partial"</formula1>
    </dataValidation>
    <dataValidation type="list" allowBlank="1" showInputMessage="1" showErrorMessage="1" sqref="H6:H55" xr:uid="{E26DDD5A-9077-4AC1-9AB3-EBFCDD1DB558}">
      <formula1>"Reconciled,Unmatched,Pending,In Dispute"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4DFD-8938-4D5A-9B73-8811FDA291A1}">
  <dimension ref="A1:G51"/>
  <sheetViews>
    <sheetView tabSelected="1" workbookViewId="0"/>
  </sheetViews>
  <sheetFormatPr defaultRowHeight="14.4" x14ac:dyDescent="0.3"/>
  <cols>
    <col min="1" max="1" width="111.21875" bestFit="1" customWidth="1"/>
    <col min="2" max="2" width="20.6640625" bestFit="1" customWidth="1"/>
    <col min="3" max="3" width="12.5546875" bestFit="1" customWidth="1"/>
    <col min="4" max="4" width="20.33203125" bestFit="1" customWidth="1"/>
    <col min="5" max="5" width="10.88671875" bestFit="1" customWidth="1"/>
    <col min="6" max="6" width="12.88671875" bestFit="1" customWidth="1"/>
    <col min="7" max="7" width="20.33203125" bestFit="1" customWidth="1"/>
  </cols>
  <sheetData>
    <row r="1" spans="1:7" ht="21" x14ac:dyDescent="0.4">
      <c r="A1" s="3" t="s">
        <v>61</v>
      </c>
    </row>
    <row r="2" spans="1:7" x14ac:dyDescent="0.3">
      <c r="A2" s="12" t="s">
        <v>62</v>
      </c>
    </row>
    <row r="4" spans="1:7" x14ac:dyDescent="0.3">
      <c r="A4" s="8" t="s">
        <v>63</v>
      </c>
      <c r="B4" s="19" t="s">
        <v>64</v>
      </c>
      <c r="D4" s="8" t="s">
        <v>70</v>
      </c>
      <c r="E4" s="19" t="s">
        <v>71</v>
      </c>
    </row>
    <row r="5" spans="1:7" x14ac:dyDescent="0.3">
      <c r="A5" s="8" t="s">
        <v>65</v>
      </c>
      <c r="B5" s="19" t="s">
        <v>66</v>
      </c>
    </row>
    <row r="6" spans="1:7" x14ac:dyDescent="0.3">
      <c r="A6" s="8" t="s">
        <v>67</v>
      </c>
      <c r="B6" s="5">
        <f ca="1">TODAY()</f>
        <v>46152</v>
      </c>
    </row>
    <row r="7" spans="1:7" x14ac:dyDescent="0.3">
      <c r="A7" s="8" t="s">
        <v>68</v>
      </c>
      <c r="B7" s="19" t="s">
        <v>69</v>
      </c>
    </row>
    <row r="9" spans="1:7" x14ac:dyDescent="0.3">
      <c r="A9" s="4" t="s">
        <v>1</v>
      </c>
      <c r="B9" s="4" t="s">
        <v>11</v>
      </c>
      <c r="C9" s="4" t="s">
        <v>13</v>
      </c>
      <c r="D9" s="4" t="s">
        <v>72</v>
      </c>
      <c r="E9" s="4" t="s">
        <v>73</v>
      </c>
      <c r="F9" s="4" t="s">
        <v>74</v>
      </c>
      <c r="G9" s="4" t="s">
        <v>75</v>
      </c>
    </row>
    <row r="10" spans="1:7" x14ac:dyDescent="0.3">
      <c r="A10" s="5">
        <v>46144</v>
      </c>
      <c r="B10" t="s">
        <v>76</v>
      </c>
      <c r="C10" t="s">
        <v>28</v>
      </c>
      <c r="D10" t="s">
        <v>77</v>
      </c>
      <c r="E10" t="s">
        <v>78</v>
      </c>
      <c r="F10" s="6">
        <v>99</v>
      </c>
      <c r="G10" t="s">
        <v>79</v>
      </c>
    </row>
    <row r="11" spans="1:7" x14ac:dyDescent="0.3">
      <c r="A11" s="5">
        <v>46145</v>
      </c>
      <c r="B11" t="s">
        <v>80</v>
      </c>
      <c r="C11" t="s">
        <v>81</v>
      </c>
      <c r="D11" t="s">
        <v>82</v>
      </c>
      <c r="E11" t="s">
        <v>83</v>
      </c>
      <c r="F11" s="6">
        <v>85.5</v>
      </c>
      <c r="G11" t="s">
        <v>84</v>
      </c>
    </row>
    <row r="12" spans="1:7" x14ac:dyDescent="0.3">
      <c r="A12" s="5">
        <v>46146</v>
      </c>
      <c r="B12" t="s">
        <v>85</v>
      </c>
      <c r="C12" t="s">
        <v>28</v>
      </c>
      <c r="D12" t="s">
        <v>86</v>
      </c>
      <c r="E12" t="s">
        <v>87</v>
      </c>
      <c r="F12" s="6">
        <v>10</v>
      </c>
      <c r="G12" t="s">
        <v>88</v>
      </c>
    </row>
    <row r="13" spans="1:7" x14ac:dyDescent="0.3">
      <c r="A13" s="5"/>
      <c r="F13" s="6"/>
    </row>
    <row r="14" spans="1:7" x14ac:dyDescent="0.3">
      <c r="A14" s="5"/>
      <c r="F14" s="6"/>
    </row>
    <row r="15" spans="1:7" x14ac:dyDescent="0.3">
      <c r="A15" s="5"/>
      <c r="F15" s="6"/>
    </row>
    <row r="16" spans="1:7" x14ac:dyDescent="0.3">
      <c r="A16" s="5"/>
      <c r="F16" s="6"/>
    </row>
    <row r="17" spans="1:6" x14ac:dyDescent="0.3">
      <c r="A17" s="5"/>
      <c r="F17" s="6"/>
    </row>
    <row r="18" spans="1:6" x14ac:dyDescent="0.3">
      <c r="A18" s="5"/>
      <c r="F18" s="6"/>
    </row>
    <row r="19" spans="1:6" x14ac:dyDescent="0.3">
      <c r="A19" s="5"/>
      <c r="F19" s="6"/>
    </row>
    <row r="20" spans="1:6" x14ac:dyDescent="0.3">
      <c r="A20" s="5"/>
      <c r="F20" s="6"/>
    </row>
    <row r="21" spans="1:6" x14ac:dyDescent="0.3">
      <c r="A21" s="5"/>
      <c r="F21" s="6"/>
    </row>
    <row r="22" spans="1:6" x14ac:dyDescent="0.3">
      <c r="A22" s="5"/>
      <c r="F22" s="6"/>
    </row>
    <row r="23" spans="1:6" x14ac:dyDescent="0.3">
      <c r="A23" s="5"/>
      <c r="F23" s="6"/>
    </row>
    <row r="24" spans="1:6" x14ac:dyDescent="0.3">
      <c r="A24" s="5"/>
      <c r="F24" s="6"/>
    </row>
    <row r="25" spans="1:6" x14ac:dyDescent="0.3">
      <c r="A25" s="5"/>
      <c r="F25" s="6"/>
    </row>
    <row r="26" spans="1:6" x14ac:dyDescent="0.3">
      <c r="A26" s="5"/>
      <c r="F26" s="6"/>
    </row>
    <row r="27" spans="1:6" x14ac:dyDescent="0.3">
      <c r="A27" s="5"/>
      <c r="F27" s="6"/>
    </row>
    <row r="28" spans="1:6" x14ac:dyDescent="0.3">
      <c r="A28" s="5"/>
      <c r="F28" s="6"/>
    </row>
    <row r="29" spans="1:6" x14ac:dyDescent="0.3">
      <c r="A29" s="5"/>
      <c r="F29" s="6"/>
    </row>
    <row r="30" spans="1:6" x14ac:dyDescent="0.3">
      <c r="A30" s="5"/>
      <c r="F30" s="6"/>
    </row>
    <row r="31" spans="1:6" x14ac:dyDescent="0.3">
      <c r="A31" s="5"/>
      <c r="F31" s="6"/>
    </row>
    <row r="32" spans="1:6" x14ac:dyDescent="0.3">
      <c r="A32" s="5"/>
      <c r="F32" s="6"/>
    </row>
    <row r="33" spans="1:7" x14ac:dyDescent="0.3">
      <c r="A33" s="5"/>
      <c r="F33" s="6"/>
    </row>
    <row r="34" spans="1:7" x14ac:dyDescent="0.3">
      <c r="A34" s="5"/>
      <c r="F34" s="6"/>
    </row>
    <row r="35" spans="1:7" x14ac:dyDescent="0.3">
      <c r="A35" s="5"/>
      <c r="F35" s="6"/>
    </row>
    <row r="36" spans="1:7" x14ac:dyDescent="0.3">
      <c r="A36" s="5"/>
      <c r="F36" s="6"/>
    </row>
    <row r="37" spans="1:7" x14ac:dyDescent="0.3">
      <c r="A37" s="5"/>
      <c r="F37" s="6"/>
    </row>
    <row r="38" spans="1:7" x14ac:dyDescent="0.3">
      <c r="A38" s="5"/>
      <c r="F38" s="6"/>
    </row>
    <row r="39" spans="1:7" x14ac:dyDescent="0.3">
      <c r="A39" s="5"/>
      <c r="F39" s="6"/>
    </row>
    <row r="41" spans="1:7" ht="15.6" x14ac:dyDescent="0.3">
      <c r="A41" s="20" t="s">
        <v>89</v>
      </c>
      <c r="B41" s="20"/>
      <c r="C41" s="20"/>
      <c r="D41" s="20"/>
      <c r="E41" s="20"/>
      <c r="F41" s="20"/>
      <c r="G41" s="20"/>
    </row>
    <row r="42" spans="1:7" x14ac:dyDescent="0.3">
      <c r="B42" s="8" t="s">
        <v>28</v>
      </c>
      <c r="F42" s="6">
        <f>SUMIF(BillItems[Category],"Subscriptions",BillItems[Amount ($)])</f>
        <v>109</v>
      </c>
    </row>
    <row r="43" spans="1:7" x14ac:dyDescent="0.3">
      <c r="B43" s="8" t="s">
        <v>90</v>
      </c>
      <c r="F43" s="6">
        <f>SUMIF(BillItems[Category],"R&amp;D",BillItems[Amount ($)])</f>
        <v>0</v>
      </c>
    </row>
    <row r="44" spans="1:7" x14ac:dyDescent="0.3">
      <c r="B44" s="8" t="s">
        <v>81</v>
      </c>
      <c r="F44" s="6">
        <f>SUMIF(BillItems[Category],"Motor Vehicle",BillItems[Amount ($)])</f>
        <v>85.5</v>
      </c>
    </row>
    <row r="45" spans="1:7" x14ac:dyDescent="0.3">
      <c r="B45" s="8" t="s">
        <v>91</v>
      </c>
      <c r="F45" s="6">
        <f>SUMIF(BillItems[Category],"Phone &amp; Internet",BillItems[Amount ($)])</f>
        <v>0</v>
      </c>
    </row>
    <row r="46" spans="1:7" x14ac:dyDescent="0.3">
      <c r="B46" s="8" t="s">
        <v>92</v>
      </c>
      <c r="F46" s="6">
        <f>SUMIF(BillItems[Category],"Contractor Expenses",BillItems[Amount ($)])</f>
        <v>0</v>
      </c>
    </row>
    <row r="47" spans="1:7" x14ac:dyDescent="0.3">
      <c r="B47" s="8" t="s">
        <v>93</v>
      </c>
      <c r="F47" s="6">
        <f>SUMIF(BillItems[Category],"Other Expense",BillItems[Amount ($)])</f>
        <v>0</v>
      </c>
    </row>
    <row r="49" spans="1:7" ht="15.6" x14ac:dyDescent="0.3">
      <c r="B49" s="21" t="s">
        <v>94</v>
      </c>
      <c r="C49" s="22"/>
      <c r="D49" s="22"/>
      <c r="E49" s="22"/>
      <c r="F49" s="23">
        <f>SUM(BillItems[Amount ($)])</f>
        <v>194.5</v>
      </c>
    </row>
    <row r="51" spans="1:7" x14ac:dyDescent="0.3">
      <c r="A51" s="24" t="s">
        <v>95</v>
      </c>
      <c r="B51" s="24"/>
      <c r="C51" s="24"/>
      <c r="D51" s="24"/>
      <c r="E51" s="24"/>
      <c r="F51" s="24"/>
      <c r="G51" s="24"/>
    </row>
  </sheetData>
  <mergeCells count="2">
    <mergeCell ref="A41:G41"/>
    <mergeCell ref="A51:G51"/>
  </mergeCells>
  <dataValidations count="1">
    <dataValidation type="list" allowBlank="1" showInputMessage="1" showErrorMessage="1" sqref="C10:C39" xr:uid="{1F6A9E09-8B4C-4043-AF0F-758161FFC9BD}">
      <formula1>"Subscriptions,R&amp;D,Motor Vehicle,Phone &amp; Internet,Contractor Expenses,Other Expense"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2A6B-C5AD-4278-BEDB-C0070B2558FC}">
  <dimension ref="A1:E26"/>
  <sheetViews>
    <sheetView workbookViewId="0"/>
  </sheetViews>
  <sheetFormatPr defaultRowHeight="14.4" x14ac:dyDescent="0.3"/>
  <cols>
    <col min="1" max="1" width="42.77734375" bestFit="1" customWidth="1"/>
    <col min="2" max="2" width="10.5546875" bestFit="1" customWidth="1"/>
    <col min="3" max="3" width="10.6640625" bestFit="1" customWidth="1"/>
    <col min="4" max="4" width="9.5546875" bestFit="1" customWidth="1"/>
    <col min="5" max="5" width="10.5546875" bestFit="1" customWidth="1"/>
  </cols>
  <sheetData>
    <row r="1" spans="1:5" ht="21" x14ac:dyDescent="0.4">
      <c r="A1" s="3" t="s">
        <v>96</v>
      </c>
    </row>
    <row r="2" spans="1:5" x14ac:dyDescent="0.3">
      <c r="A2" s="12" t="s">
        <v>97</v>
      </c>
    </row>
    <row r="4" spans="1:5" x14ac:dyDescent="0.3">
      <c r="A4" s="8" t="s">
        <v>98</v>
      </c>
      <c r="B4" s="25">
        <v>46204</v>
      </c>
      <c r="D4" s="8" t="s">
        <v>99</v>
      </c>
      <c r="E4" s="25">
        <v>46568</v>
      </c>
    </row>
    <row r="5" spans="1:5" x14ac:dyDescent="0.3">
      <c r="A5" s="12" t="s">
        <v>100</v>
      </c>
    </row>
    <row r="7" spans="1:5" ht="15.6" x14ac:dyDescent="0.3">
      <c r="A7" s="26" t="s">
        <v>101</v>
      </c>
      <c r="C7" s="4" t="s">
        <v>74</v>
      </c>
    </row>
    <row r="8" spans="1:5" x14ac:dyDescent="0.3">
      <c r="A8" s="8" t="s">
        <v>22</v>
      </c>
      <c r="C8" s="9" cm="1">
        <f t="array" ref="C8">SUMPRODUCT((TxnLedger[Category]="Revenue")*(TxnLedger[Date]&gt;=$B$4)*(TxnLedger[Date]&lt;=$E$4)*TxnLedger[Income ($)])</f>
        <v>0</v>
      </c>
    </row>
    <row r="9" spans="1:5" x14ac:dyDescent="0.3">
      <c r="A9" s="8" t="s">
        <v>102</v>
      </c>
      <c r="C9" s="9" cm="1">
        <f t="array" ref="C9">SUMPRODUCT((TxnLedger[Category]="Other Income")*(TxnLedger[Date]&gt;=$B$4)*(TxnLedger[Date]&lt;=$E$4)*TxnLedger[Income ($)])</f>
        <v>0</v>
      </c>
    </row>
    <row r="10" spans="1:5" x14ac:dyDescent="0.3">
      <c r="A10" s="27" t="s">
        <v>103</v>
      </c>
      <c r="C10" s="28">
        <f>SUM(C8:C9)</f>
        <v>0</v>
      </c>
    </row>
    <row r="12" spans="1:5" ht="15.6" x14ac:dyDescent="0.3">
      <c r="A12" s="29" t="s">
        <v>104</v>
      </c>
      <c r="C12" s="30" t="s">
        <v>74</v>
      </c>
    </row>
    <row r="13" spans="1:5" x14ac:dyDescent="0.3">
      <c r="A13" s="8" t="s">
        <v>28</v>
      </c>
      <c r="C13" s="9" cm="1">
        <f t="array" ref="C13">SUMPRODUCT((TxnLedger[Category]="Subscriptions")*(TxnLedger[Date]&gt;=$B$4)*(TxnLedger[Date]&lt;=$E$4)*TxnLedger[Expense ($)])</f>
        <v>0</v>
      </c>
    </row>
    <row r="14" spans="1:5" x14ac:dyDescent="0.3">
      <c r="A14" s="8" t="s">
        <v>90</v>
      </c>
      <c r="C14" s="9" cm="1">
        <f t="array" ref="C14">SUMPRODUCT((TxnLedger[Category]="R&amp;D")*(TxnLedger[Date]&gt;=$B$4)*(TxnLedger[Date]&lt;=$E$4)*TxnLedger[Expense ($)])</f>
        <v>0</v>
      </c>
    </row>
    <row r="15" spans="1:5" x14ac:dyDescent="0.3">
      <c r="A15" s="8" t="s">
        <v>81</v>
      </c>
      <c r="C15" s="9" cm="1">
        <f t="array" ref="C15">SUMPRODUCT((TxnLedger[Category]="Motor Vehicle")*(TxnLedger[Date]&gt;=$B$4)*(TxnLedger[Date]&lt;=$E$4)*TxnLedger[Expense ($)])</f>
        <v>0</v>
      </c>
    </row>
    <row r="16" spans="1:5" x14ac:dyDescent="0.3">
      <c r="A16" s="8" t="s">
        <v>91</v>
      </c>
      <c r="C16" s="9" cm="1">
        <f t="array" ref="C16">SUMPRODUCT((TxnLedger[Category]="Phone &amp; Internet")*(TxnLedger[Date]&gt;=$B$4)*(TxnLedger[Date]&lt;=$E$4)*TxnLedger[Expense ($)])</f>
        <v>0</v>
      </c>
    </row>
    <row r="17" spans="1:3" x14ac:dyDescent="0.3">
      <c r="A17" s="8" t="s">
        <v>92</v>
      </c>
      <c r="C17" s="9" cm="1">
        <f t="array" ref="C17">SUMPRODUCT((TxnLedger[Category]="Contractor Expenses")*(TxnLedger[Date]&gt;=$B$4)*(TxnLedger[Date]&lt;=$E$4)*TxnLedger[Expense ($)])</f>
        <v>0</v>
      </c>
    </row>
    <row r="18" spans="1:3" x14ac:dyDescent="0.3">
      <c r="A18" s="8" t="s">
        <v>105</v>
      </c>
      <c r="C18" s="9" cm="1">
        <f t="array" ref="C18">SUMPRODUCT((TxnLedger[Category]="Other Expense")*(TxnLedger[Date]&gt;=$B$4)*(TxnLedger[Date]&lt;=$E$4)*TxnLedger[Expense ($)])</f>
        <v>0</v>
      </c>
    </row>
    <row r="19" spans="1:3" x14ac:dyDescent="0.3">
      <c r="A19" s="31" t="s">
        <v>106</v>
      </c>
      <c r="C19" s="32">
        <f>SUM(C13:C18)</f>
        <v>0</v>
      </c>
    </row>
    <row r="21" spans="1:3" ht="17.399999999999999" x14ac:dyDescent="0.35">
      <c r="A21" s="33" t="s">
        <v>107</v>
      </c>
      <c r="C21" s="34">
        <f>C10-C19</f>
        <v>0</v>
      </c>
    </row>
    <row r="23" spans="1:3" ht="15.6" x14ac:dyDescent="0.3">
      <c r="A23" s="35" t="s">
        <v>108</v>
      </c>
      <c r="C23" s="36" t="s">
        <v>74</v>
      </c>
    </row>
    <row r="24" spans="1:3" x14ac:dyDescent="0.3">
      <c r="A24" s="8" t="s">
        <v>109</v>
      </c>
      <c r="C24" s="9" cm="1">
        <f t="array" ref="C24">SUMPRODUCT((TxnLedger[Category]="Director Loan In")*(TxnLedger[Date]&gt;=$B$4)*(TxnLedger[Date]&lt;=$E$4)*TxnLedger[Income ($)])</f>
        <v>0</v>
      </c>
    </row>
    <row r="25" spans="1:3" x14ac:dyDescent="0.3">
      <c r="A25" s="8" t="s">
        <v>110</v>
      </c>
      <c r="C25" s="9" cm="1">
        <f t="array" ref="C25">SUMPRODUCT((TxnLedger[Category]="Director Loan Repayment")*(TxnLedger[Date]&gt;=$B$4)*(TxnLedger[Date]&lt;=$E$4)*TxnLedger[Expense ($)])</f>
        <v>0</v>
      </c>
    </row>
    <row r="26" spans="1:3" x14ac:dyDescent="0.3">
      <c r="A26" s="8" t="s">
        <v>111</v>
      </c>
      <c r="C26" s="9" cm="1">
        <f t="array" ref="C26">SUMPRODUCT((TxnLedger[Category]="Owner Equity")*(TxnLedger[Date]&gt;=$B$4)*(TxnLedger[Date]&lt;=$E$4)*TxnLedger[Income ($)])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6CD9-7B4B-493B-BA3F-3C0962B5CEF7}">
  <dimension ref="A1:I113"/>
  <sheetViews>
    <sheetView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49.109375" bestFit="1" customWidth="1"/>
    <col min="2" max="2" width="10.77734375" bestFit="1" customWidth="1"/>
    <col min="3" max="3" width="5.109375" bestFit="1" customWidth="1"/>
    <col min="4" max="4" width="8.5546875" bestFit="1" customWidth="1"/>
    <col min="5" max="5" width="10.109375" bestFit="1" customWidth="1"/>
    <col min="6" max="6" width="10.6640625" bestFit="1" customWidth="1"/>
    <col min="8" max="8" width="18.33203125" bestFit="1" customWidth="1"/>
    <col min="9" max="9" width="10.6640625" bestFit="1" customWidth="1"/>
  </cols>
  <sheetData>
    <row r="1" spans="1:9" ht="21" x14ac:dyDescent="0.4">
      <c r="A1" s="3" t="s">
        <v>112</v>
      </c>
    </row>
    <row r="3" spans="1:9" ht="15.6" x14ac:dyDescent="0.3">
      <c r="A3" s="26" t="s">
        <v>113</v>
      </c>
    </row>
    <row r="4" spans="1:9" x14ac:dyDescent="0.3">
      <c r="A4" s="8" t="s">
        <v>114</v>
      </c>
      <c r="B4" s="19" t="s">
        <v>115</v>
      </c>
    </row>
    <row r="5" spans="1:9" x14ac:dyDescent="0.3">
      <c r="A5" s="8" t="s">
        <v>116</v>
      </c>
      <c r="B5" s="37">
        <f ca="1">IF(B4="This Month",DATE(YEAR(TODAY()),MONTH(TODAY()),1),IF(B4="Last Month",DATE(YEAR(TODAY()),MONTH(TODAY())-1,1),IF(B4="This Quarter",DATE(YEAR(TODAY()),INT((MONTH(TODAY())-1)/3)*3+1,1),IF(B4="Last Quarter",DATE(YEAR(TODAY()),INT((MONTH(TODAY())-1)/3)*3-2,1),IF(B4="This Financial Year",IF(MONTH(TODAY())&gt;=7,DATE(YEAR(TODAY()),7,1),DATE(YEAR(TODAY())-1,7,1)),IF(B4="Last Financial Year",IF(MONTH(TODAY())&gt;=7,DATE(YEAR(TODAY())-1,7,1),DATE(YEAR(TODAY())-2,7,1)),IF(B4="Last 3 Months",DATE(YEAR(TODAY()),MONTH(TODAY())-3,1),IF(B4="Last 6 Months",DATE(YEAR(TODAY()),MONTH(TODAY())-6,1),IF(B4="This Calendar Year",DATE(YEAR(TODAY()),1,1),IF(B4="Last Calendar Year",DATE(YEAR(TODAY())-1,1,1),B7))))))))))</f>
        <v>46204</v>
      </c>
    </row>
    <row r="6" spans="1:9" x14ac:dyDescent="0.3">
      <c r="A6" s="8" t="s">
        <v>117</v>
      </c>
      <c r="B6" s="37">
        <f ca="1">IF(B4="This Month",EOMONTH(TODAY(),0),IF(B4="Last Month",EOMONTH(DATE(YEAR(TODAY()),MONTH(TODAY())-1,1),0),IF(B4="This Quarter",EOMONTH(DATE(YEAR(TODAY()),INT((MONTH(TODAY())-1)/3)*3+3,1),0),IF(B4="Last Quarter",EOMONTH(DATE(YEAR(TODAY()),INT((MONTH(TODAY())-1)/3)*3,1),0),IF(B4="This Financial Year",IF(MONTH(TODAY())&gt;=7,DATE(YEAR(TODAY())+1,6,30),DATE(YEAR(TODAY()),6,30)),IF(B4="Last Financial Year",IF(MONTH(TODAY())&gt;=7,DATE(YEAR(TODAY()),6,30),DATE(YEAR(TODAY())-1,6,30)),IF(B4="Last 3 Months",EOMONTH(TODAY(),-1),IF(B4="Last 6 Months",EOMONTH(TODAY(),-1),IF(B4="This Calendar Year",DATE(YEAR(TODAY()),12,31),IF(B4="Last Calendar Year",DATE(YEAR(TODAY())-1,12,31),B8))))))))))</f>
        <v>46568</v>
      </c>
    </row>
    <row r="7" spans="1:9" x14ac:dyDescent="0.3">
      <c r="A7" s="38" t="s">
        <v>118</v>
      </c>
      <c r="B7" s="25">
        <v>46204</v>
      </c>
    </row>
    <row r="8" spans="1:9" x14ac:dyDescent="0.3">
      <c r="A8" s="38" t="s">
        <v>119</v>
      </c>
      <c r="B8" s="25">
        <v>46568</v>
      </c>
    </row>
    <row r="9" spans="1:9" x14ac:dyDescent="0.3">
      <c r="A9" s="8" t="s">
        <v>120</v>
      </c>
      <c r="B9" s="19" t="s">
        <v>121</v>
      </c>
    </row>
    <row r="11" spans="1:9" ht="15.6" x14ac:dyDescent="0.3">
      <c r="A11" s="26" t="s">
        <v>122</v>
      </c>
    </row>
    <row r="12" spans="1:9" x14ac:dyDescent="0.3">
      <c r="A12" s="13" t="s">
        <v>1</v>
      </c>
      <c r="B12" s="13" t="s">
        <v>11</v>
      </c>
      <c r="C12" s="13" t="s">
        <v>12</v>
      </c>
      <c r="D12" s="13" t="s">
        <v>13</v>
      </c>
      <c r="E12" s="13" t="s">
        <v>14</v>
      </c>
      <c r="F12" s="13" t="s">
        <v>15</v>
      </c>
      <c r="H12" s="1" t="s">
        <v>123</v>
      </c>
      <c r="I12" s="1" t="s">
        <v>74</v>
      </c>
    </row>
    <row r="13" spans="1:9" x14ac:dyDescent="0.3">
      <c r="A13" s="5" t="str" cm="1">
        <f t="array" aca="1" ref="A13" ca="1">IFERROR(_xlfn._xlws.FILTER(TxnLedger[[Date]:[Expense ($)]],((TxnLedger[Date]&gt;=$B$5)*(TxnLedger[Date]&lt;=$B$6)*(IF($B$9="All",1,(TxnLedger[Category]=$B$9)))),"No transactions found for this period"),"No transactions found for this period")</f>
        <v>No transactions found for this period</v>
      </c>
      <c r="E13" s="6"/>
      <c r="F13" s="6"/>
      <c r="H13" s="8" t="s">
        <v>36</v>
      </c>
      <c r="I13" s="9" cm="1">
        <f t="array" aca="1" ref="I13" ca="1">SUMPRODUCT((TxnLedger[Type]="Income")*(TxnLedger[Date]&gt;=$B$5)*(TxnLedger[Date]&lt;=$B$6)*TxnLedger[Income ($)])</f>
        <v>0</v>
      </c>
    </row>
    <row r="14" spans="1:9" x14ac:dyDescent="0.3">
      <c r="A14" s="5"/>
      <c r="E14" s="6"/>
      <c r="F14" s="6"/>
      <c r="H14" s="8" t="s">
        <v>37</v>
      </c>
      <c r="I14" s="9" cm="1">
        <f t="array" aca="1" ref="I14" ca="1">SUMPRODUCT((TxnLedger[Type]="Expense")*(TxnLedger[Date]&gt;=$B$5)*(TxnLedger[Date]&lt;=$B$6)*TxnLedger[Expense ($)])</f>
        <v>0</v>
      </c>
    </row>
    <row r="15" spans="1:9" x14ac:dyDescent="0.3">
      <c r="A15" s="5"/>
      <c r="E15" s="6"/>
      <c r="F15" s="6"/>
      <c r="H15" s="10" t="s">
        <v>40</v>
      </c>
      <c r="I15" s="39">
        <f ca="1">I13-I14</f>
        <v>0</v>
      </c>
    </row>
    <row r="16" spans="1:9" x14ac:dyDescent="0.3">
      <c r="A16" s="5"/>
      <c r="E16" s="6"/>
      <c r="F16" s="6"/>
    </row>
    <row r="17" spans="1:9" x14ac:dyDescent="0.3">
      <c r="A17" s="5"/>
      <c r="E17" s="6"/>
      <c r="F17" s="6"/>
      <c r="H17" s="8" t="s">
        <v>28</v>
      </c>
      <c r="I17" s="9" cm="1">
        <f t="array" aca="1" ref="I17" ca="1">SUMPRODUCT((TxnLedger[Category]="Subscriptions")*(TxnLedger[Date]&gt;=$B$5)*(TxnLedger[Date]&lt;=$B$6)*TxnLedger[Expense ($)])</f>
        <v>0</v>
      </c>
    </row>
    <row r="18" spans="1:9" x14ac:dyDescent="0.3">
      <c r="A18" s="5"/>
      <c r="E18" s="6"/>
      <c r="F18" s="6"/>
      <c r="H18" s="8" t="s">
        <v>90</v>
      </c>
      <c r="I18" s="9" cm="1">
        <f t="array" aca="1" ref="I18" ca="1">SUMPRODUCT((TxnLedger[Category]="R&amp;D")*(TxnLedger[Date]&gt;=$B$5)*(TxnLedger[Date]&lt;=$B$6)*TxnLedger[Expense ($)])</f>
        <v>0</v>
      </c>
    </row>
    <row r="19" spans="1:9" x14ac:dyDescent="0.3">
      <c r="A19" s="5"/>
      <c r="E19" s="6"/>
      <c r="F19" s="6"/>
      <c r="H19" s="8" t="s">
        <v>81</v>
      </c>
      <c r="I19" s="9" cm="1">
        <f t="array" aca="1" ref="I19" ca="1">SUMPRODUCT((TxnLedger[Category]="Motor Vehicle")*(TxnLedger[Date]&gt;=$B$5)*(TxnLedger[Date]&lt;=$B$6)*TxnLedger[Expense ($)])</f>
        <v>0</v>
      </c>
    </row>
    <row r="20" spans="1:9" x14ac:dyDescent="0.3">
      <c r="A20" s="5"/>
      <c r="E20" s="6"/>
      <c r="F20" s="6"/>
      <c r="H20" s="8" t="s">
        <v>91</v>
      </c>
      <c r="I20" s="9" cm="1">
        <f t="array" aca="1" ref="I20" ca="1">SUMPRODUCT((TxnLedger[Category]="Phone &amp; Internet")*(TxnLedger[Date]&gt;=$B$5)*(TxnLedger[Date]&lt;=$B$6)*TxnLedger[Expense ($)])</f>
        <v>0</v>
      </c>
    </row>
    <row r="21" spans="1:9" x14ac:dyDescent="0.3">
      <c r="A21" s="5"/>
      <c r="E21" s="6"/>
      <c r="F21" s="6"/>
      <c r="H21" s="8" t="s">
        <v>92</v>
      </c>
      <c r="I21" s="9" cm="1">
        <f t="array" aca="1" ref="I21" ca="1">SUMPRODUCT((TxnLedger[Category]="Contractor Expenses")*(TxnLedger[Date]&gt;=$B$5)*(TxnLedger[Date]&lt;=$B$6)*TxnLedger[Expense ($)])</f>
        <v>0</v>
      </c>
    </row>
    <row r="22" spans="1:9" x14ac:dyDescent="0.3">
      <c r="A22" s="5"/>
      <c r="E22" s="6"/>
      <c r="F22" s="6"/>
    </row>
    <row r="23" spans="1:9" x14ac:dyDescent="0.3">
      <c r="A23" s="5"/>
      <c r="E23" s="6"/>
      <c r="F23" s="6"/>
    </row>
    <row r="24" spans="1:9" x14ac:dyDescent="0.3">
      <c r="A24" s="5"/>
      <c r="E24" s="6"/>
      <c r="F24" s="6"/>
    </row>
    <row r="25" spans="1:9" x14ac:dyDescent="0.3">
      <c r="A25" s="5"/>
      <c r="E25" s="6"/>
      <c r="F25" s="6"/>
    </row>
    <row r="26" spans="1:9" x14ac:dyDescent="0.3">
      <c r="A26" s="5"/>
      <c r="E26" s="6"/>
      <c r="F26" s="6"/>
    </row>
    <row r="27" spans="1:9" x14ac:dyDescent="0.3">
      <c r="A27" s="5"/>
      <c r="E27" s="6"/>
      <c r="F27" s="6"/>
    </row>
    <row r="28" spans="1:9" x14ac:dyDescent="0.3">
      <c r="A28" s="5"/>
      <c r="E28" s="6"/>
      <c r="F28" s="6"/>
    </row>
    <row r="29" spans="1:9" x14ac:dyDescent="0.3">
      <c r="A29" s="5"/>
      <c r="E29" s="6"/>
      <c r="F29" s="6"/>
    </row>
    <row r="30" spans="1:9" x14ac:dyDescent="0.3">
      <c r="A30" s="5"/>
      <c r="E30" s="6"/>
      <c r="F30" s="6"/>
    </row>
    <row r="31" spans="1:9" x14ac:dyDescent="0.3">
      <c r="A31" s="5"/>
      <c r="E31" s="6"/>
      <c r="F31" s="6"/>
    </row>
    <row r="32" spans="1:9" x14ac:dyDescent="0.3">
      <c r="A32" s="5"/>
      <c r="E32" s="6"/>
      <c r="F32" s="6"/>
    </row>
    <row r="33" spans="1:6" x14ac:dyDescent="0.3">
      <c r="A33" s="5"/>
      <c r="E33" s="6"/>
      <c r="F33" s="6"/>
    </row>
    <row r="34" spans="1:6" x14ac:dyDescent="0.3">
      <c r="A34" s="5"/>
      <c r="E34" s="6"/>
      <c r="F34" s="6"/>
    </row>
    <row r="35" spans="1:6" x14ac:dyDescent="0.3">
      <c r="A35" s="5"/>
      <c r="E35" s="6"/>
      <c r="F35" s="6"/>
    </row>
    <row r="36" spans="1:6" x14ac:dyDescent="0.3">
      <c r="A36" s="5"/>
      <c r="E36" s="6"/>
      <c r="F36" s="6"/>
    </row>
    <row r="37" spans="1:6" x14ac:dyDescent="0.3">
      <c r="A37" s="5"/>
      <c r="E37" s="6"/>
      <c r="F37" s="6"/>
    </row>
    <row r="38" spans="1:6" x14ac:dyDescent="0.3">
      <c r="A38" s="5"/>
      <c r="E38" s="6"/>
      <c r="F38" s="6"/>
    </row>
    <row r="39" spans="1:6" x14ac:dyDescent="0.3">
      <c r="A39" s="5"/>
      <c r="E39" s="6"/>
      <c r="F39" s="6"/>
    </row>
    <row r="40" spans="1:6" x14ac:dyDescent="0.3">
      <c r="A40" s="5"/>
      <c r="E40" s="6"/>
      <c r="F40" s="6"/>
    </row>
    <row r="41" spans="1:6" x14ac:dyDescent="0.3">
      <c r="A41" s="5"/>
      <c r="E41" s="6"/>
      <c r="F41" s="6"/>
    </row>
    <row r="42" spans="1:6" x14ac:dyDescent="0.3">
      <c r="A42" s="5"/>
      <c r="E42" s="6"/>
      <c r="F42" s="6"/>
    </row>
    <row r="43" spans="1:6" x14ac:dyDescent="0.3">
      <c r="A43" s="5"/>
      <c r="E43" s="6"/>
      <c r="F43" s="6"/>
    </row>
    <row r="44" spans="1:6" x14ac:dyDescent="0.3">
      <c r="A44" s="5"/>
      <c r="E44" s="6"/>
      <c r="F44" s="6"/>
    </row>
    <row r="45" spans="1:6" x14ac:dyDescent="0.3">
      <c r="A45" s="5"/>
      <c r="E45" s="6"/>
      <c r="F45" s="6"/>
    </row>
    <row r="46" spans="1:6" x14ac:dyDescent="0.3">
      <c r="A46" s="5"/>
      <c r="E46" s="6"/>
      <c r="F46" s="6"/>
    </row>
    <row r="47" spans="1:6" x14ac:dyDescent="0.3">
      <c r="A47" s="5"/>
      <c r="E47" s="6"/>
      <c r="F47" s="6"/>
    </row>
    <row r="48" spans="1:6" x14ac:dyDescent="0.3">
      <c r="A48" s="5"/>
      <c r="E48" s="6"/>
      <c r="F48" s="6"/>
    </row>
    <row r="49" spans="1:6" x14ac:dyDescent="0.3">
      <c r="A49" s="5"/>
      <c r="E49" s="6"/>
      <c r="F49" s="6"/>
    </row>
    <row r="50" spans="1:6" x14ac:dyDescent="0.3">
      <c r="A50" s="5"/>
      <c r="E50" s="6"/>
      <c r="F50" s="6"/>
    </row>
    <row r="51" spans="1:6" x14ac:dyDescent="0.3">
      <c r="A51" s="5"/>
      <c r="E51" s="6"/>
      <c r="F51" s="6"/>
    </row>
    <row r="52" spans="1:6" x14ac:dyDescent="0.3">
      <c r="A52" s="5"/>
      <c r="E52" s="6"/>
      <c r="F52" s="6"/>
    </row>
    <row r="53" spans="1:6" x14ac:dyDescent="0.3">
      <c r="A53" s="5"/>
      <c r="E53" s="6"/>
      <c r="F53" s="6"/>
    </row>
    <row r="54" spans="1:6" x14ac:dyDescent="0.3">
      <c r="A54" s="5"/>
      <c r="E54" s="6"/>
      <c r="F54" s="6"/>
    </row>
    <row r="55" spans="1:6" x14ac:dyDescent="0.3">
      <c r="A55" s="5"/>
      <c r="E55" s="6"/>
      <c r="F55" s="6"/>
    </row>
    <row r="56" spans="1:6" x14ac:dyDescent="0.3">
      <c r="A56" s="5"/>
      <c r="E56" s="6"/>
      <c r="F56" s="6"/>
    </row>
    <row r="57" spans="1:6" x14ac:dyDescent="0.3">
      <c r="A57" s="5"/>
      <c r="E57" s="6"/>
      <c r="F57" s="6"/>
    </row>
    <row r="58" spans="1:6" x14ac:dyDescent="0.3">
      <c r="A58" s="5"/>
      <c r="E58" s="6"/>
      <c r="F58" s="6"/>
    </row>
    <row r="59" spans="1:6" x14ac:dyDescent="0.3">
      <c r="A59" s="5"/>
      <c r="E59" s="6"/>
      <c r="F59" s="6"/>
    </row>
    <row r="60" spans="1:6" x14ac:dyDescent="0.3">
      <c r="A60" s="5"/>
      <c r="E60" s="6"/>
      <c r="F60" s="6"/>
    </row>
    <row r="61" spans="1:6" x14ac:dyDescent="0.3">
      <c r="A61" s="5"/>
      <c r="E61" s="6"/>
      <c r="F61" s="6"/>
    </row>
    <row r="62" spans="1:6" x14ac:dyDescent="0.3">
      <c r="A62" s="5"/>
      <c r="E62" s="6"/>
      <c r="F62" s="6"/>
    </row>
    <row r="63" spans="1:6" x14ac:dyDescent="0.3">
      <c r="A63" s="5"/>
      <c r="E63" s="6"/>
      <c r="F63" s="6"/>
    </row>
    <row r="64" spans="1:6" x14ac:dyDescent="0.3">
      <c r="A64" s="5"/>
      <c r="E64" s="6"/>
      <c r="F64" s="6"/>
    </row>
    <row r="65" spans="1:6" x14ac:dyDescent="0.3">
      <c r="A65" s="5"/>
      <c r="E65" s="6"/>
      <c r="F65" s="6"/>
    </row>
    <row r="66" spans="1:6" x14ac:dyDescent="0.3">
      <c r="A66" s="5"/>
      <c r="E66" s="6"/>
      <c r="F66" s="6"/>
    </row>
    <row r="67" spans="1:6" x14ac:dyDescent="0.3">
      <c r="A67" s="5"/>
      <c r="E67" s="6"/>
      <c r="F67" s="6"/>
    </row>
    <row r="68" spans="1:6" x14ac:dyDescent="0.3">
      <c r="A68" s="5"/>
      <c r="E68" s="6"/>
      <c r="F68" s="6"/>
    </row>
    <row r="69" spans="1:6" x14ac:dyDescent="0.3">
      <c r="A69" s="5"/>
      <c r="E69" s="6"/>
      <c r="F69" s="6"/>
    </row>
    <row r="70" spans="1:6" x14ac:dyDescent="0.3">
      <c r="A70" s="5"/>
      <c r="E70" s="6"/>
      <c r="F70" s="6"/>
    </row>
    <row r="71" spans="1:6" x14ac:dyDescent="0.3">
      <c r="A71" s="5"/>
      <c r="E71" s="6"/>
      <c r="F71" s="6"/>
    </row>
    <row r="72" spans="1:6" x14ac:dyDescent="0.3">
      <c r="A72" s="5"/>
      <c r="E72" s="6"/>
      <c r="F72" s="6"/>
    </row>
    <row r="73" spans="1:6" x14ac:dyDescent="0.3">
      <c r="A73" s="5"/>
      <c r="E73" s="6"/>
      <c r="F73" s="6"/>
    </row>
    <row r="74" spans="1:6" x14ac:dyDescent="0.3">
      <c r="A74" s="5"/>
      <c r="E74" s="6"/>
      <c r="F74" s="6"/>
    </row>
    <row r="75" spans="1:6" x14ac:dyDescent="0.3">
      <c r="A75" s="5"/>
      <c r="E75" s="6"/>
      <c r="F75" s="6"/>
    </row>
    <row r="76" spans="1:6" x14ac:dyDescent="0.3">
      <c r="A76" s="5"/>
      <c r="E76" s="6"/>
      <c r="F76" s="6"/>
    </row>
    <row r="77" spans="1:6" x14ac:dyDescent="0.3">
      <c r="A77" s="5"/>
      <c r="E77" s="6"/>
      <c r="F77" s="6"/>
    </row>
    <row r="78" spans="1:6" x14ac:dyDescent="0.3">
      <c r="A78" s="5"/>
      <c r="E78" s="6"/>
      <c r="F78" s="6"/>
    </row>
    <row r="79" spans="1:6" x14ac:dyDescent="0.3">
      <c r="A79" s="5"/>
      <c r="E79" s="6"/>
      <c r="F79" s="6"/>
    </row>
    <row r="80" spans="1:6" x14ac:dyDescent="0.3">
      <c r="A80" s="5"/>
      <c r="E80" s="6"/>
      <c r="F80" s="6"/>
    </row>
    <row r="81" spans="1:6" x14ac:dyDescent="0.3">
      <c r="A81" s="5"/>
      <c r="E81" s="6"/>
      <c r="F81" s="6"/>
    </row>
    <row r="82" spans="1:6" x14ac:dyDescent="0.3">
      <c r="A82" s="5"/>
      <c r="E82" s="6"/>
      <c r="F82" s="6"/>
    </row>
    <row r="83" spans="1:6" x14ac:dyDescent="0.3">
      <c r="A83" s="5"/>
      <c r="E83" s="6"/>
      <c r="F83" s="6"/>
    </row>
    <row r="84" spans="1:6" x14ac:dyDescent="0.3">
      <c r="A84" s="5"/>
      <c r="E84" s="6"/>
      <c r="F84" s="6"/>
    </row>
    <row r="85" spans="1:6" x14ac:dyDescent="0.3">
      <c r="A85" s="5"/>
      <c r="E85" s="6"/>
      <c r="F85" s="6"/>
    </row>
    <row r="86" spans="1:6" x14ac:dyDescent="0.3">
      <c r="A86" s="5"/>
      <c r="E86" s="6"/>
      <c r="F86" s="6"/>
    </row>
    <row r="87" spans="1:6" x14ac:dyDescent="0.3">
      <c r="A87" s="5"/>
      <c r="E87" s="6"/>
      <c r="F87" s="6"/>
    </row>
    <row r="88" spans="1:6" x14ac:dyDescent="0.3">
      <c r="A88" s="5"/>
      <c r="E88" s="6"/>
      <c r="F88" s="6"/>
    </row>
    <row r="89" spans="1:6" x14ac:dyDescent="0.3">
      <c r="A89" s="5"/>
      <c r="E89" s="6"/>
      <c r="F89" s="6"/>
    </row>
    <row r="90" spans="1:6" x14ac:dyDescent="0.3">
      <c r="A90" s="5"/>
      <c r="E90" s="6"/>
      <c r="F90" s="6"/>
    </row>
    <row r="91" spans="1:6" x14ac:dyDescent="0.3">
      <c r="A91" s="5"/>
      <c r="E91" s="6"/>
      <c r="F91" s="6"/>
    </row>
    <row r="92" spans="1:6" x14ac:dyDescent="0.3">
      <c r="A92" s="5"/>
      <c r="E92" s="6"/>
      <c r="F92" s="6"/>
    </row>
    <row r="93" spans="1:6" x14ac:dyDescent="0.3">
      <c r="A93" s="5"/>
      <c r="E93" s="6"/>
      <c r="F93" s="6"/>
    </row>
    <row r="94" spans="1:6" x14ac:dyDescent="0.3">
      <c r="A94" s="5"/>
      <c r="E94" s="6"/>
      <c r="F94" s="6"/>
    </row>
    <row r="95" spans="1:6" x14ac:dyDescent="0.3">
      <c r="A95" s="5"/>
      <c r="E95" s="6"/>
      <c r="F95" s="6"/>
    </row>
    <row r="96" spans="1:6" x14ac:dyDescent="0.3">
      <c r="A96" s="5"/>
      <c r="E96" s="6"/>
      <c r="F96" s="6"/>
    </row>
    <row r="97" spans="1:6" x14ac:dyDescent="0.3">
      <c r="A97" s="5"/>
      <c r="E97" s="6"/>
      <c r="F97" s="6"/>
    </row>
    <row r="98" spans="1:6" x14ac:dyDescent="0.3">
      <c r="A98" s="5"/>
      <c r="E98" s="6"/>
      <c r="F98" s="6"/>
    </row>
    <row r="99" spans="1:6" x14ac:dyDescent="0.3">
      <c r="A99" s="5"/>
      <c r="E99" s="6"/>
      <c r="F99" s="6"/>
    </row>
    <row r="100" spans="1:6" x14ac:dyDescent="0.3">
      <c r="A100" s="5"/>
      <c r="E100" s="6"/>
      <c r="F100" s="6"/>
    </row>
    <row r="101" spans="1:6" x14ac:dyDescent="0.3">
      <c r="A101" s="5"/>
      <c r="E101" s="6"/>
      <c r="F101" s="6"/>
    </row>
    <row r="102" spans="1:6" x14ac:dyDescent="0.3">
      <c r="A102" s="5"/>
      <c r="E102" s="6"/>
      <c r="F102" s="6"/>
    </row>
    <row r="103" spans="1:6" x14ac:dyDescent="0.3">
      <c r="A103" s="5"/>
      <c r="E103" s="6"/>
      <c r="F103" s="6"/>
    </row>
    <row r="104" spans="1:6" x14ac:dyDescent="0.3">
      <c r="A104" s="5"/>
      <c r="E104" s="6"/>
      <c r="F104" s="6"/>
    </row>
    <row r="105" spans="1:6" x14ac:dyDescent="0.3">
      <c r="A105" s="5"/>
      <c r="E105" s="6"/>
      <c r="F105" s="6"/>
    </row>
    <row r="106" spans="1:6" x14ac:dyDescent="0.3">
      <c r="A106" s="5"/>
      <c r="E106" s="6"/>
      <c r="F106" s="6"/>
    </row>
    <row r="107" spans="1:6" x14ac:dyDescent="0.3">
      <c r="A107" s="5"/>
      <c r="E107" s="6"/>
      <c r="F107" s="6"/>
    </row>
    <row r="108" spans="1:6" x14ac:dyDescent="0.3">
      <c r="A108" s="5"/>
      <c r="E108" s="6"/>
      <c r="F108" s="6"/>
    </row>
    <row r="109" spans="1:6" x14ac:dyDescent="0.3">
      <c r="A109" s="5"/>
      <c r="E109" s="6"/>
      <c r="F109" s="6"/>
    </row>
    <row r="110" spans="1:6" x14ac:dyDescent="0.3">
      <c r="A110" s="5"/>
      <c r="E110" s="6"/>
      <c r="F110" s="6"/>
    </row>
    <row r="111" spans="1:6" x14ac:dyDescent="0.3">
      <c r="A111" s="5"/>
      <c r="E111" s="6"/>
      <c r="F111" s="6"/>
    </row>
    <row r="112" spans="1:6" x14ac:dyDescent="0.3">
      <c r="A112" s="5"/>
      <c r="E112" s="6"/>
      <c r="F112" s="6"/>
    </row>
    <row r="113" spans="1:6" x14ac:dyDescent="0.3">
      <c r="A113" s="5"/>
      <c r="E113" s="6"/>
      <c r="F113" s="6"/>
    </row>
  </sheetData>
  <dataValidations count="2">
    <dataValidation type="list" allowBlank="1" showInputMessage="1" showErrorMessage="1" sqref="B4" xr:uid="{66D25C68-1C2E-424F-89E9-A16673C78C06}">
      <formula1>"Custom,This Month,Last Month,This Quarter,Last Quarter,This Financial Year,Last Financial Year,Last 3 Months,Last 6 Months,This Calendar Year,Last Calendar Year"</formula1>
    </dataValidation>
    <dataValidation type="list" allowBlank="1" showInputMessage="1" showErrorMessage="1" sqref="B9" xr:uid="{B2E70B92-BD08-48C7-9D03-5400FDCAEC34}">
      <formula1>"All,Revenue,Subscriptions,R&amp;D,Motor Vehicle,Phone &amp; Internet,Contractor Expenses,Director Loan In,Director Loan Repayment,Owner Equity,Other Income,Other Expense"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9D13-066A-4DD9-9D43-1D0FA77F43FD}">
  <dimension ref="A1:F19"/>
  <sheetViews>
    <sheetView workbookViewId="0"/>
  </sheetViews>
  <sheetFormatPr defaultRowHeight="14.4" x14ac:dyDescent="0.3"/>
  <sheetData>
    <row r="1" spans="1:6" ht="21" x14ac:dyDescent="0.4">
      <c r="A1" s="3" t="s">
        <v>124</v>
      </c>
    </row>
    <row r="2" spans="1:6" x14ac:dyDescent="0.3">
      <c r="A2" s="12" t="s">
        <v>125</v>
      </c>
    </row>
    <row r="4" spans="1:6" x14ac:dyDescent="0.3">
      <c r="A4" s="8" t="s">
        <v>126</v>
      </c>
      <c r="B4" s="19" t="s">
        <v>127</v>
      </c>
      <c r="D4" s="8" t="s">
        <v>128</v>
      </c>
      <c r="E4" s="5">
        <f>DATE(IF(LEFT(B4,4)*1,LEFT(B4,4)*1,2026),7,1)</f>
        <v>46204</v>
      </c>
    </row>
    <row r="6" spans="1:6" x14ac:dyDescent="0.3">
      <c r="A6" s="4" t="s">
        <v>129</v>
      </c>
      <c r="B6" s="4" t="s">
        <v>130</v>
      </c>
      <c r="C6" s="4" t="s">
        <v>131</v>
      </c>
      <c r="D6" s="4" t="s">
        <v>14</v>
      </c>
      <c r="E6" s="4" t="s">
        <v>132</v>
      </c>
      <c r="F6" s="4" t="s">
        <v>133</v>
      </c>
    </row>
    <row r="7" spans="1:6" x14ac:dyDescent="0.3">
      <c r="A7" s="8" t="s">
        <v>134</v>
      </c>
      <c r="B7">
        <f>DATE(IF(LEFT($B$4,4)*1,LEFT($B$4,4)*1,2026),7,1)</f>
        <v>46204</v>
      </c>
      <c r="C7">
        <f>EOMONTH(B7,0)</f>
        <v>46234</v>
      </c>
      <c r="D7" s="9" cm="1">
        <f t="array" ref="D7">SUMPRODUCT((TxnLedger[Type]="Income")*(TxnLedger[Date]&gt;=B7)*(TxnLedger[Date]&lt;=C7)*TxnLedger[Income ($)])</f>
        <v>0</v>
      </c>
      <c r="E7" s="9" cm="1">
        <f t="array" ref="E7">SUMPRODUCT((TxnLedger[Type]="Expense")*(TxnLedger[Date]&gt;=B7)*(TxnLedger[Date]&lt;=C7)*TxnLedger[Expense ($)])</f>
        <v>0</v>
      </c>
      <c r="F7" s="6">
        <f>D7-E7</f>
        <v>0</v>
      </c>
    </row>
    <row r="8" spans="1:6" x14ac:dyDescent="0.3">
      <c r="A8" s="8" t="s">
        <v>135</v>
      </c>
      <c r="B8">
        <f>DATE(IF(LEFT($B$4,4)*1,LEFT($B$4,4)*1,2026),8,1)</f>
        <v>46235</v>
      </c>
      <c r="C8">
        <f>EOMONTH(B8,0)</f>
        <v>46265</v>
      </c>
      <c r="D8" s="9" cm="1">
        <f t="array" ref="D8">SUMPRODUCT((TxnLedger[Type]="Income")*(TxnLedger[Date]&gt;=B8)*(TxnLedger[Date]&lt;=C8)*TxnLedger[Income ($)])</f>
        <v>0</v>
      </c>
      <c r="E8" s="9" cm="1">
        <f t="array" ref="E8">SUMPRODUCT((TxnLedger[Type]="Expense")*(TxnLedger[Date]&gt;=B8)*(TxnLedger[Date]&lt;=C8)*TxnLedger[Expense ($)])</f>
        <v>0</v>
      </c>
      <c r="F8" s="6">
        <f>D8-E8</f>
        <v>0</v>
      </c>
    </row>
    <row r="9" spans="1:6" x14ac:dyDescent="0.3">
      <c r="A9" s="8" t="s">
        <v>136</v>
      </c>
      <c r="B9">
        <f>DATE(IF(LEFT($B$4,4)*1,LEFT($B$4,4)*1,2026),9,1)</f>
        <v>46266</v>
      </c>
      <c r="C9">
        <f>EOMONTH(B9,0)</f>
        <v>46295</v>
      </c>
      <c r="D9" s="9" cm="1">
        <f t="array" ref="D9">SUMPRODUCT((TxnLedger[Type]="Income")*(TxnLedger[Date]&gt;=B9)*(TxnLedger[Date]&lt;=C9)*TxnLedger[Income ($)])</f>
        <v>0</v>
      </c>
      <c r="E9" s="9" cm="1">
        <f t="array" ref="E9">SUMPRODUCT((TxnLedger[Type]="Expense")*(TxnLedger[Date]&gt;=B9)*(TxnLedger[Date]&lt;=C9)*TxnLedger[Expense ($)])</f>
        <v>0</v>
      </c>
      <c r="F9" s="6">
        <f>D9-E9</f>
        <v>0</v>
      </c>
    </row>
    <row r="10" spans="1:6" x14ac:dyDescent="0.3">
      <c r="A10" s="8" t="s">
        <v>137</v>
      </c>
      <c r="B10">
        <f>DATE(IF(LEFT($B$4,4)*1,LEFT($B$4,4)*1,2026),10,1)</f>
        <v>46296</v>
      </c>
      <c r="C10">
        <f>EOMONTH(B10,0)</f>
        <v>46326</v>
      </c>
      <c r="D10" s="9" cm="1">
        <f t="array" ref="D10">SUMPRODUCT((TxnLedger[Type]="Income")*(TxnLedger[Date]&gt;=B10)*(TxnLedger[Date]&lt;=C10)*TxnLedger[Income ($)])</f>
        <v>0</v>
      </c>
      <c r="E10" s="9" cm="1">
        <f t="array" ref="E10">SUMPRODUCT((TxnLedger[Type]="Expense")*(TxnLedger[Date]&gt;=B10)*(TxnLedger[Date]&lt;=C10)*TxnLedger[Expense ($)])</f>
        <v>0</v>
      </c>
      <c r="F10" s="6">
        <f>D10-E10</f>
        <v>0</v>
      </c>
    </row>
    <row r="11" spans="1:6" x14ac:dyDescent="0.3">
      <c r="A11" s="8" t="s">
        <v>138</v>
      </c>
      <c r="B11">
        <f>DATE(IF(LEFT($B$4,4)*1,LEFT($B$4,4)*1,2026),11,1)</f>
        <v>46327</v>
      </c>
      <c r="C11">
        <f>EOMONTH(B11,0)</f>
        <v>46356</v>
      </c>
      <c r="D11" s="9" cm="1">
        <f t="array" ref="D11">SUMPRODUCT((TxnLedger[Type]="Income")*(TxnLedger[Date]&gt;=B11)*(TxnLedger[Date]&lt;=C11)*TxnLedger[Income ($)])</f>
        <v>0</v>
      </c>
      <c r="E11" s="9" cm="1">
        <f t="array" ref="E11">SUMPRODUCT((TxnLedger[Type]="Expense")*(TxnLedger[Date]&gt;=B11)*(TxnLedger[Date]&lt;=C11)*TxnLedger[Expense ($)])</f>
        <v>0</v>
      </c>
      <c r="F11" s="6">
        <f>D11-E11</f>
        <v>0</v>
      </c>
    </row>
    <row r="12" spans="1:6" x14ac:dyDescent="0.3">
      <c r="A12" s="8" t="s">
        <v>139</v>
      </c>
      <c r="B12">
        <f>DATE(IF(LEFT($B$4,4)*1,LEFT($B$4,4)*1,2026),12,1)</f>
        <v>46357</v>
      </c>
      <c r="C12">
        <f>EOMONTH(B12,0)</f>
        <v>46387</v>
      </c>
      <c r="D12" s="9" cm="1">
        <f t="array" ref="D12">SUMPRODUCT((TxnLedger[Type]="Income")*(TxnLedger[Date]&gt;=B12)*(TxnLedger[Date]&lt;=C12)*TxnLedger[Income ($)])</f>
        <v>0</v>
      </c>
      <c r="E12" s="9" cm="1">
        <f t="array" ref="E12">SUMPRODUCT((TxnLedger[Type]="Expense")*(TxnLedger[Date]&gt;=B12)*(TxnLedger[Date]&lt;=C12)*TxnLedger[Expense ($)])</f>
        <v>0</v>
      </c>
      <c r="F12" s="6">
        <f>D12-E12</f>
        <v>0</v>
      </c>
    </row>
    <row r="13" spans="1:6" x14ac:dyDescent="0.3">
      <c r="A13" s="8" t="s">
        <v>140</v>
      </c>
      <c r="B13">
        <f>DATE(IF(LEFT($B$4,4)*1,LEFT($B$4,4)*1,2026)+1,1,1)</f>
        <v>46388</v>
      </c>
      <c r="C13">
        <f>EOMONTH(B13,0)</f>
        <v>46418</v>
      </c>
      <c r="D13" s="9" cm="1">
        <f t="array" ref="D13">SUMPRODUCT((TxnLedger[Type]="Income")*(TxnLedger[Date]&gt;=B13)*(TxnLedger[Date]&lt;=C13)*TxnLedger[Income ($)])</f>
        <v>0</v>
      </c>
      <c r="E13" s="9" cm="1">
        <f t="array" ref="E13">SUMPRODUCT((TxnLedger[Type]="Expense")*(TxnLedger[Date]&gt;=B13)*(TxnLedger[Date]&lt;=C13)*TxnLedger[Expense ($)])</f>
        <v>0</v>
      </c>
      <c r="F13" s="6">
        <f>D13-E13</f>
        <v>0</v>
      </c>
    </row>
    <row r="14" spans="1:6" x14ac:dyDescent="0.3">
      <c r="A14" s="8" t="s">
        <v>141</v>
      </c>
      <c r="B14">
        <f>DATE(IF(LEFT($B$4,4)*1,LEFT($B$4,4)*1,2026)+1,2,1)</f>
        <v>46419</v>
      </c>
      <c r="C14">
        <f>EOMONTH(B14,0)</f>
        <v>46446</v>
      </c>
      <c r="D14" s="9" cm="1">
        <f t="array" ref="D14">SUMPRODUCT((TxnLedger[Type]="Income")*(TxnLedger[Date]&gt;=B14)*(TxnLedger[Date]&lt;=C14)*TxnLedger[Income ($)])</f>
        <v>0</v>
      </c>
      <c r="E14" s="9" cm="1">
        <f t="array" ref="E14">SUMPRODUCT((TxnLedger[Type]="Expense")*(TxnLedger[Date]&gt;=B14)*(TxnLedger[Date]&lt;=C14)*TxnLedger[Expense ($)])</f>
        <v>0</v>
      </c>
      <c r="F14" s="6">
        <f>D14-E14</f>
        <v>0</v>
      </c>
    </row>
    <row r="15" spans="1:6" x14ac:dyDescent="0.3">
      <c r="A15" s="8" t="s">
        <v>142</v>
      </c>
      <c r="B15">
        <f>DATE(IF(LEFT($B$4,4)*1,LEFT($B$4,4)*1,2026)+1,3,1)</f>
        <v>46447</v>
      </c>
      <c r="C15">
        <f>EOMONTH(B15,0)</f>
        <v>46477</v>
      </c>
      <c r="D15" s="9" cm="1">
        <f t="array" ref="D15">SUMPRODUCT((TxnLedger[Type]="Income")*(TxnLedger[Date]&gt;=B15)*(TxnLedger[Date]&lt;=C15)*TxnLedger[Income ($)])</f>
        <v>0</v>
      </c>
      <c r="E15" s="9" cm="1">
        <f t="array" ref="E15">SUMPRODUCT((TxnLedger[Type]="Expense")*(TxnLedger[Date]&gt;=B15)*(TxnLedger[Date]&lt;=C15)*TxnLedger[Expense ($)])</f>
        <v>0</v>
      </c>
      <c r="F15" s="6">
        <f>D15-E15</f>
        <v>0</v>
      </c>
    </row>
    <row r="16" spans="1:6" x14ac:dyDescent="0.3">
      <c r="A16" s="8" t="s">
        <v>143</v>
      </c>
      <c r="B16">
        <f>DATE(IF(LEFT($B$4,4)*1,LEFT($B$4,4)*1,2026)+1,4,1)</f>
        <v>46478</v>
      </c>
      <c r="C16">
        <f>EOMONTH(B16,0)</f>
        <v>46507</v>
      </c>
      <c r="D16" s="9" cm="1">
        <f t="array" ref="D16">SUMPRODUCT((TxnLedger[Type]="Income")*(TxnLedger[Date]&gt;=B16)*(TxnLedger[Date]&lt;=C16)*TxnLedger[Income ($)])</f>
        <v>0</v>
      </c>
      <c r="E16" s="9" cm="1">
        <f t="array" ref="E16">SUMPRODUCT((TxnLedger[Type]="Expense")*(TxnLedger[Date]&gt;=B16)*(TxnLedger[Date]&lt;=C16)*TxnLedger[Expense ($)])</f>
        <v>0</v>
      </c>
      <c r="F16" s="6">
        <f>D16-E16</f>
        <v>0</v>
      </c>
    </row>
    <row r="17" spans="1:6" x14ac:dyDescent="0.3">
      <c r="A17" s="8" t="s">
        <v>144</v>
      </c>
      <c r="B17">
        <f>DATE(IF(LEFT($B$4,4)*1,LEFT($B$4,4)*1,2026)+1,5,1)</f>
        <v>46508</v>
      </c>
      <c r="C17">
        <f>EOMONTH(B17,0)</f>
        <v>46538</v>
      </c>
      <c r="D17" s="9" cm="1">
        <f t="array" ref="D17">SUMPRODUCT((TxnLedger[Type]="Income")*(TxnLedger[Date]&gt;=B17)*(TxnLedger[Date]&lt;=C17)*TxnLedger[Income ($)])</f>
        <v>0</v>
      </c>
      <c r="E17" s="9" cm="1">
        <f t="array" ref="E17">SUMPRODUCT((TxnLedger[Type]="Expense")*(TxnLedger[Date]&gt;=B17)*(TxnLedger[Date]&lt;=C17)*TxnLedger[Expense ($)])</f>
        <v>0</v>
      </c>
      <c r="F17" s="6">
        <f>D17-E17</f>
        <v>0</v>
      </c>
    </row>
    <row r="18" spans="1:6" x14ac:dyDescent="0.3">
      <c r="A18" s="8" t="s">
        <v>145</v>
      </c>
      <c r="B18">
        <f>DATE(IF(LEFT($B$4,4)*1,LEFT($B$4,4)*1,2026)+1,6,1)</f>
        <v>46539</v>
      </c>
      <c r="C18">
        <f>EOMONTH(B18,0)</f>
        <v>46568</v>
      </c>
      <c r="D18" s="9" cm="1">
        <f t="array" ref="D18">SUMPRODUCT((TxnLedger[Type]="Income")*(TxnLedger[Date]&gt;=B18)*(TxnLedger[Date]&lt;=C18)*TxnLedger[Income ($)])</f>
        <v>0</v>
      </c>
      <c r="E18" s="9" cm="1">
        <f t="array" ref="E18">SUMPRODUCT((TxnLedger[Type]="Expense")*(TxnLedger[Date]&gt;=B18)*(TxnLedger[Date]&lt;=C18)*TxnLedger[Expense ($)])</f>
        <v>0</v>
      </c>
      <c r="F18" s="6">
        <f>D18-E18</f>
        <v>0</v>
      </c>
    </row>
    <row r="19" spans="1:6" x14ac:dyDescent="0.3">
      <c r="A19" s="10" t="s">
        <v>146</v>
      </c>
      <c r="D19" s="11">
        <f>SUM(D7:D18)</f>
        <v>0</v>
      </c>
      <c r="E19" s="11">
        <f>SUM(E7:E18)</f>
        <v>0</v>
      </c>
      <c r="F19" s="39">
        <f>D19-E19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Claude Log</vt:lpstr>
      <vt:lpstr>Income &amp; Expenses</vt:lpstr>
      <vt:lpstr>Bank Recon</vt:lpstr>
      <vt:lpstr>Create Bill</vt:lpstr>
      <vt:lpstr>P&amp;L</vt:lpstr>
      <vt:lpstr>Date Search</vt:lpstr>
      <vt:lpstr>Monthly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melia borg</dc:creator>
  <cp:lastModifiedBy>melia borg</cp:lastModifiedBy>
  <dcterms:created xsi:type="dcterms:W3CDTF">2026-05-10T12:35:44Z</dcterms:created>
  <dcterms:modified xsi:type="dcterms:W3CDTF">2026-05-10T12:58:13Z</dcterms:modified>
</cp:coreProperties>
</file>